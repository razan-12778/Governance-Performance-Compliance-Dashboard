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مؤشر الثاني" sheetId="1" r:id="rId4"/>
    <sheet state="visible" name="المؤشر الثالث" sheetId="2" r:id="rId5"/>
  </sheets>
  <definedNames/>
  <calcPr/>
  <extLst>
    <ext uri="GoogleSheetsCustomDataVersion2">
      <go:sheetsCustomData xmlns:go="http://customooxmlschemas.google.com/" r:id="rId6" roundtripDataChecksum="nDge6meU+XsxJJ7D2svcvDTS8k3R6PPYMIoI4PZ/WOg="/>
    </ext>
  </extLst>
</workbook>
</file>

<file path=xl/sharedStrings.xml><?xml version="1.0" encoding="utf-8"?>
<sst xmlns="http://schemas.openxmlformats.org/spreadsheetml/2006/main" count="639" uniqueCount="291">
  <si>
    <t>بطاقة الممارسة ( 4)</t>
  </si>
  <si>
    <t>بطاقة الممارسة (6)</t>
  </si>
  <si>
    <t>بطاقة الممارسة ( ٧)</t>
  </si>
  <si>
    <t>المؤشر الثاني  (الوزن : 26%)</t>
  </si>
  <si>
    <t>قدرة الجمعية على إدارة ملف الجمعية العمومية بكفاءة عالية وتطبيق كافة الأحكام والضوابط لزيادة فاعليتها .</t>
  </si>
  <si>
    <t>المجال</t>
  </si>
  <si>
    <t>الجمعية العمومية</t>
  </si>
  <si>
    <t>موضوعات الممارسة</t>
  </si>
  <si>
    <t>١- حالة اشتراكات أعضاء الجمعية العمومية .</t>
  </si>
  <si>
    <t>احكام عامة للجمعية العمومية .</t>
  </si>
  <si>
    <t>يدارملف الجمعية العمومية بكفاءة ويتم التأكد مما يلي:</t>
  </si>
  <si>
    <t>تلتزم الجمعية العمومية باختصاصاتها التالية :</t>
  </si>
  <si>
    <t>تلتزم الجمعية العمومية غير العادية باختصاصاتها التالية:</t>
  </si>
  <si>
    <t>١- تتكون الجمعية من الأعضاء المؤسسين ومن مضى على عضويته ٦ اشهر على الأقل وقام بتسديد الرسوم ( ان وجدت )
٢- تعقد الاجتماعات بناءً على دعوة خطية من رئيس إدارة الجمعية تشتمل على جدول الاعمال و مكان الاجتماع وتاريخه   وساعة انعقاده ،على ان تبلغ المركز والجهة المشرفة و أعضاء الجمعية بالدعوة قبل الموعد المحدد بخمسة عشر يوما على الأقل
٣- تُعقد الجمعية العمومية العادية اجتماعها السنوي الأول خلال الأشهر الميلادية الأربعة الأولى
٤- تعقد الاجتماعات غير العادية بناء على طلب من مجلس الإدارة، أو بناء على طلب عدد لا يقل عن (25 %) من الأعضاء الذين لهم حق حضور الجمعية العمومية ولا تعتبر قراراتها نافذة إلا بعد موافقة الوزير.
٥- حضور أكثر من نصف أعضاء لجمعية العمومية (العادية أو غير العادية) اجتماعات الجمعية.
٦- تُعد قرارات الجمعية العمومية العادية بأغلبية أصوات الأعضاء الحاضرين أو من ينوب عنهم
٧- تعد قرارات الجمعية العمومية غير العادية بأغلبية ثلثي عدد الأعضاء الحاضرين</t>
  </si>
  <si>
    <t>١- دراسة تقرير مراجع الحسابات عن القوائم المالية للسنة المالية المنتهية، واعتمادها بعد مناقشتها.
٢- إقرار مشروع الميزانية التقديرية للسنة المالية الجديدة.
٣- مناقشة تقرير مجلس الإدارة عن أعمال الجمعية ونشاطاتها للسنة المالية المنتهية، والخطة المقترحة للسنة المالية الجديدة، واتخاذ ما تراه بشأنه
٤- إقرار خطة استثمار أموال الجمعية، واقتراح مجالاته.
٥- انتخاب أعضاء مجلس الإدارة، وتجديد مدة عضويتهم، وإبراء ذمة مجلس الإدارة السابق.
٦- تعيين محاسب قانوني مرخص له، لمراجعة حسابات الجمعية، وتحديد أتعابه.
٧- دراسة تقرير مراجع الحسابات عن القوائم المالية للسنة المالية المنتهية، واعتمادها بعد مناقشتها.
٨- إقرار مشروع الميزانية التقديرية للسنة المالية الجديدة.
٩-  مناقشة تقرير مجلس الإدارة عن أعمال الجمعية ونشاطاتها للسنة المالية المنتهية، والخطة المقترحة للسنة المالية الجديدة، واتخاذ ما تراه في شأنه.
١٠- إقرار خطة استثمار أموال الجمعية، واقتراح مجالاته. 
١١- انتخاب أعضاء مجلس الإدارة، وتجديد مدة عضويتهم، وإبراء ذمة مجلس الإدارة السابق.
١٢- تعيين محاسب قانوني مرخص له، لمراجعة حسابات الجمعية، وتحديد أتعابه
١٣- رفع نسخة من محضر اجتماعات الجمعية العمومية ومحضر فرز الأصوات (ان وجد ) الى المركز خلال خمسة عشر يوما من تاريخ الاجتماع</t>
  </si>
  <si>
    <t>١- البت في استقالة أي عضو من أعضاء مجلس الإدارة، أو إسقاط العضوية عنه، وانتخاب من يشغل المراكز الشاغرة في عضوية مجلس الادارة
٢- إلغاء ما تراه من قرارات مجلس الإدارة
٣-اقتراح اندماج الجمعية في جمعية أخرى
٤- إقرار تعديلات اللائحة الأساسية
٥-حل الجمعية اختياريا
٦-رفع نسخة من محضر اجتماعات الجمعية العمومية ومحضر فرز الأصوات (ان وجد ) الى المركز خلال ١٥ يوم من تاريخ الاجتماع
٧- عدم اعتماد أو تنفيذ أي قرار قبل رفعه للوزير والموافقة عليه</t>
  </si>
  <si>
    <t>آليات مقترحة لتحقيق الممارسة وشواهدها</t>
  </si>
  <si>
    <t>الأنشطة</t>
  </si>
  <si>
    <t>١- فرز وتنظيم ملف أعضاء الجمعية العمومية وتحديد حالة اشتراكاتهم والرسوم إن وجدت.
٢- إرسال دعوات اجتماع الجمعية العمومية من قبل رئيس المجلس مع إبلاغ الأطراف المعنية قبل الموعد بخمسة عشر يوما ً
٣- عقد اجتماع الجمعية العمومية العادية الأول خلال الأشهر الميلادية الأربعة الأولى.
٤- إتاحة الإفصاح لأعضاء الجمعية العمومية عند تعارض المصالح قبل التصويت على أي قرار.</t>
  </si>
  <si>
    <t>١- التأكد من معرفة أعضاء الجمعية العمومية باختصاصات الجمعية العادية المحددة في الممارسة.
٢- التأكد من قيام الجمعية العمومية العادية باختصاصاتها المحد ّ دة في الممارسة.
٣- مراجعة حالة أعضاء مجلس الإدارة ومدة عضويتهم المتبقية وإبراء ذمة أي عضو يغادر المجلس.</t>
  </si>
  <si>
    <t>١- التأكد من معرفة أعضاء الجمعية العمومية باختصاصات الجمعية غير العادية المحددة في الممارسة.
٢-التأكد من مشروعية عقد الجمعية غير العادية وقيامها باختصاصاتها المحددة في الممارسة.
٣-التأكد من الإجراءات الصحيحة قبل عقد الجمعية العمومية غير العادية.
٤-حصر القرارات التي تصدر من الجمعية العمومية غير العادية.
٥-التأكد من عدم تنفيذ أي قرار قبل الحصول على موافقة الوزير
٦-متابعة إجراءات الحصول على الموافقة لقرارات الجمعية العمومية غير العادية بعد رفعها للوزير.</t>
  </si>
  <si>
    <t>الأدوات والأدلة
 والنماذج</t>
  </si>
  <si>
    <t>١- أداة إدارة الجمعية العمومية.
٢- نموذج إداري لعقد اجتماع الجمعية العمومية العادي وغير العادي
٣- نموذج دعوة أعضاء الجمعية العمومية للاجتماع.
٤- نموذج محضر اجتماع الجمعية العمومية ومحضر فرز الأصوات.</t>
  </si>
  <si>
    <t>١- أداة إدارة الجمعية العمومية.</t>
  </si>
  <si>
    <t>١- أداة إدارة الجمعية العمومية.
٢- نموذج إداري لعقد اجتماع الجمعية العمومية العادي وغير العادي.
٣-نموذج دعوة أعضاء الجمعية العمومية للاجتماع.
٤-نموذج محضر اجتماع الجمعية العمومية غير العادية ومحضر فرز الأصوات.</t>
  </si>
  <si>
    <t>مصدر الممارسة</t>
  </si>
  <si>
    <t>نظام الجمعيات والمؤسسات الأهلية</t>
  </si>
  <si>
    <t>رقم النص 
او المادة</t>
  </si>
  <si>
    <t>1- نظام الجمعيات والمؤسسات الأهلية
2- اللائحة التنفيذية  لنظام الجمعيات والمؤسسات الأهلية</t>
  </si>
  <si>
    <t>20 , 23</t>
  </si>
  <si>
    <t>الشواهد المتوقعة</t>
  </si>
  <si>
    <t>١- سجل الجمعية العمومية
٢- محاضر اجتماعات الجمعية العمومية</t>
  </si>
  <si>
    <t>١- اللائحة الأساسية المعتمدة للجمعية.
٢- محاضر اجتماعات الجمعية العمومية العادية.
٣- المراسلات والخطابات التي تمت بين الجمعية والمركز.</t>
  </si>
  <si>
    <t>١-محاضر اجتماعات الجمعية العمومية غير العادية.
٢- محضر فرز الاصوات.
٣- المراسلات والخطابات التي تمت بين الجمعية والمركز.</t>
  </si>
  <si>
    <t>المجال 
(الجمعية العمومية)</t>
  </si>
  <si>
    <t>السؤال</t>
  </si>
  <si>
    <t>الدرجة</t>
  </si>
  <si>
    <t>الية التقييم</t>
  </si>
  <si>
    <t>الإدارة المعنية</t>
  </si>
  <si>
    <t>اليه التحقق</t>
  </si>
  <si>
    <t>الحالة</t>
  </si>
  <si>
    <t>الشاهد</t>
  </si>
  <si>
    <t>هل باب العضوية في الجمعية
 مفتوح للعموم؟</t>
  </si>
  <si>
    <t>مكتبي</t>
  </si>
  <si>
    <t>أعضاء الجمعية العمومية</t>
  </si>
  <si>
    <t>محتوى سجل 
الجمعية العمومية.</t>
  </si>
  <si>
    <t>لا</t>
  </si>
  <si>
    <t>نموذج إداري لعقد اجتماع 
الجمعية العمومية العادي وغير العادي</t>
  </si>
  <si>
    <t>https://drive.google.com/file/d/1Hh1tv
VK98BqtXaF8A4Bfed_p-KA_7ul2/view?usp=sharing</t>
  </si>
  <si>
    <t>هل انتخبت الجمعية العمومية مجلسا جديدا  أو عضوا جديدا أو عضو إدارة تنفيذية خلال السنة المالية الحالية أو السابقة؟</t>
  </si>
  <si>
    <t xml:space="preserve">
١- محتوى محاضر الجمعية العمومية العادية
 ٢- محتوى إجابات المعنيين</t>
  </si>
  <si>
    <t>نعم</t>
  </si>
  <si>
    <t xml:space="preserve"> مراجعة حالة أعضاء مجلس الإدارة ومدة عضويتهم المتبقية وإبراء ذمة أي عضو يغادر المجلس.</t>
  </si>
  <si>
    <t>https://drive.google.com/file/d/1Gm9iqJK5hc-
uaVupCgCiV5_ci1rdm3fY/view?usp=sharing</t>
  </si>
  <si>
    <t xml:space="preserve"> هل انعقدت العمومية (غير العادية) خلال السنة المالية الحالية أو السابقة؟</t>
  </si>
  <si>
    <t xml:space="preserve">
وجود محاضر اجتماعات الجمعية العمومية غير العادية
</t>
  </si>
  <si>
    <t>يوجد</t>
  </si>
  <si>
    <t>٢-التأكد من مشروعية عقد الجمعية غير 
العادية وقيامها باختصاصاتها المحددة في الممارسة.</t>
  </si>
  <si>
    <t>https://drive.google.com/file/d/1_IpKhv-klxwbuadI-JxB0GOHVllAxF2P/view?usp=sharing</t>
  </si>
  <si>
    <t>هل يوجد تزايد في عدد أعضاء
الجمعية العمومية؟</t>
  </si>
  <si>
    <t xml:space="preserve">نموذج محضر
 اجتماع الجمعية العمومية </t>
  </si>
  <si>
    <t xml:space="preserve"> https://drive.google.com/file/d/1Lpn2qU1gTJ
M5QGMEclXJQytabsLV_m2G/view?usp=sharing
</t>
  </si>
  <si>
    <t xml:space="preserve"> هل تم إبراء ذمة مجلس السابق أو أحد أعضائه في الاجتماع الأول بعد تغير الأعضاء؟</t>
  </si>
  <si>
    <t>محتوى محاضر 
الجمعية العمومية.</t>
  </si>
  <si>
    <t>https://drive.google.com/file/d/1fZP3aERtIDH
_hGfrUFV-25F8gxgiaG9V/view?usp=sharing</t>
  </si>
  <si>
    <t>هل كانت الاجتماعات بناء ً على طلب مسبب من المركز أو من مجلس الإدارة، أو بناء ً على طلب عدد لا يقل عن (25%) من الأعضاء الذين يحق لهم حضور الجمعية العمومية؟</t>
  </si>
  <si>
    <t>محتوى المراسلات والدعوات ذات العلاقة.</t>
  </si>
  <si>
    <t>التأكد من الإجراءات الصحيحة قبل عقد 
الجمعية العمومية غير العادية.</t>
  </si>
  <si>
    <t>https://drive.google.com/file/d/1kqIfKTBa
ZGT1cwt2ohpJ0fdFZTDUEAqC/view?usp=sharing</t>
  </si>
  <si>
    <t>هل اجتمعت الجمعية العمومية
(الاجتماع العادي) خلال السنة
المالية الحالية؟</t>
  </si>
  <si>
    <t>محتوى محاضر اجتماعات الجمعية العمومية العادية</t>
  </si>
  <si>
    <t xml:space="preserve"> التأكد من قيام الجمعية العمومية العادية باختصاصاتها المحددة في الممارسة.</t>
  </si>
  <si>
    <t>https://drive.google.com/file/d/16hBylVo-TPth_
MQ_e2-kgMqdoL_E3hM1/view?usp=sharing</t>
  </si>
  <si>
    <t>هل كل ما تم مناقشته هو ضمن اختصاصات الجمعية العمومية غير العادية؟</t>
  </si>
  <si>
    <t>محتوى محاضر الجمعية العمومية غير العادية</t>
  </si>
  <si>
    <t>حصر القرارات التي تصدر
 من الجمعية العمومية غير العادية</t>
  </si>
  <si>
    <t>بطاقة الممارسة ( 5 )</t>
  </si>
  <si>
    <t>هل درست الجمعية العمومية
العادية في اجتماعها الأول تقرير
مراجع الحسابات عن القوائم
المالية للسنة المالية المنتهية؟</t>
  </si>
  <si>
    <t xml:space="preserve">محتوى محاضر 
الجمعية العمومية العادية </t>
  </si>
  <si>
    <t>https://drive.google.com/file/d/1jZ2REhCW1Th5E
KOsMA1S7TqhrHC52vRd/view?usp=sharing</t>
  </si>
  <si>
    <t>هل تم إرسال نسخة من محضر اجتماع الجمعية العمومية مع محضر فرز الاصوات (ان وجد) إلى المركز خلال ١٥ يوما من تاريخ الاجتماع؟</t>
  </si>
  <si>
    <t>محتوى المراسلات والخطابات التي تمت.</t>
  </si>
  <si>
    <t>متابعة إجراءات الحصول على الموافقة لقرارات الجمعية العمومية غير العادية بعد رفعها للوزير.</t>
  </si>
  <si>
    <t>https://drive.google.com/file/d/1El6OuanWF
2dv3V4zdIMHrNbrTnGu_iTX/view?usp=sharing</t>
  </si>
  <si>
    <t>هل أقرت الجمعية العمومية العادية مشروع الميزانية التقديرية 
للسنة المالية الجديدة؟</t>
  </si>
  <si>
    <t>محتوى محاضرالجمعية 
العمومية العادية</t>
  </si>
  <si>
    <t>https://drive.google.com/file/d/13q2DsBHsIsBfDZLrw
N2Y867ADQU4M6ln/view?usp=sharing</t>
  </si>
  <si>
    <t>هل تم اتخاذ قرارات خلال
الاجتماع؟</t>
  </si>
  <si>
    <t>https://drive.google.com/file/d/1piihTi
R7q2wTzW5mpZpPyLeFpk1flBcN/view?usp=sharing</t>
  </si>
  <si>
    <t>هل درست الجمعية العمومية
العادية في اجتماعها الأول تقرير
مراجع الحسابات عن القوائم 
المالية للسنة المالية المنتهية؟</t>
  </si>
  <si>
    <t>https://drive.google.com/file/d/1jZ2REhCW1Th
5EKOsMA1S7TqhrHC52vRd/view?usp=sharing</t>
  </si>
  <si>
    <t xml:space="preserve"> هل تم أخذ موافقة
على القرارات قبل تنفيذها؟</t>
  </si>
  <si>
    <t>محتوى المراسلات والخطابات التي تمت بين الجمعية والوزير.</t>
  </si>
  <si>
    <t>التأكد من عدم تنفيذ أي قرار قبل الحصول على موافقة الوزير</t>
  </si>
  <si>
    <t>هل ناقشت الجمعية العمومية
العادية الخطة المقترحة للسنة
المالية الجديدة واتخذت
التوصيات والقرارات لذلك؟</t>
  </si>
  <si>
    <t>https://drive.google.com/file/d/1tzDAIW45EhA9mhX_
Lq0xGRXM8w1FyHJI/view?usp=sharing</t>
  </si>
  <si>
    <t>هل تم إرسال نسخة من محضراجتماع الجمعية العمومية مع  محضر فرز الأصوات
 (إن وجد)  إلى المركز خلال ١٥ يوما من تاريخ الاجتماع؟</t>
  </si>
  <si>
    <t>محتوى المراسلات و
الخطابات التي تمت</t>
  </si>
  <si>
    <t>https://drive.google.com/file/d/16V0jAjhc2VqBz
W9-cCLCxzvqLI1i8oWX/view?usp=sharing</t>
  </si>
  <si>
    <t>هل توجد خطة تشغيلية للسنة
المالية الحالية لدى الجمعية؟</t>
  </si>
  <si>
    <t>وجود خطة تشغيلية.</t>
  </si>
  <si>
    <t>هل تم اعتماد الخطة من
الجمعية العمومية؟</t>
  </si>
  <si>
    <t xml:space="preserve">محتوى محاضر
 الجمعية العمومية </t>
  </si>
  <si>
    <t>تم اعتمادها من الجمعية العمومية.</t>
  </si>
  <si>
    <t>هل لدى الجمعية سجل متكامل
ومحدث بأعضاء الجمعية
العمومية؟</t>
  </si>
  <si>
    <t>وجود سجل محدث
للجمعية العمومية.</t>
  </si>
  <si>
    <t xml:space="preserve"> نموذج دعوة أعضاء الجمعية
 العمومية للاجتماع.</t>
  </si>
  <si>
    <t>https://drive.google.com/file/d/16hciLXSKFJHjMZbaXIfPewCwuMWGkeWu/view?usp=sharing</t>
  </si>
  <si>
    <t>بطاقة الممارسة ( 8)</t>
  </si>
  <si>
    <t>بطاقة الممارسة (9)</t>
  </si>
  <si>
    <t>بطاقة الممارسة ( 10)</t>
  </si>
  <si>
    <t>بطاقة الممارسة (11)</t>
  </si>
  <si>
    <t>بطاقة الممارسة ( 12)</t>
  </si>
  <si>
    <t>بطاقة الممارسة ( 13)</t>
  </si>
  <si>
    <t>بطاقة الممارسة ( 14)</t>
  </si>
  <si>
    <t>بطاقة الممارسة (15)</t>
  </si>
  <si>
    <t>المؤشر الثاني  (الوزن :31,75%)</t>
  </si>
  <si>
    <t>التزام الجمعية بالأحكام والضوابط المنظمة لمجلس الإدارة وزيادة فاعليته.</t>
  </si>
  <si>
    <t>مجلس الإدارة</t>
  </si>
  <si>
    <t>اختصاصات مجلس الإدارة في المؤشر التخطيط والرقابة والمتابعة.</t>
  </si>
  <si>
    <t>تفعيل سياسات وأسس الحوكمة.</t>
  </si>
  <si>
    <t>المسؤوليات المالية والصلاحيات  الممنوحة.</t>
  </si>
  <si>
    <t>انتظام اجتماعات مجلس الإدارة.</t>
  </si>
  <si>
    <t>١- عدم الجمع بين عضوية المجلس والوظيفة في الجمعية.
٢- عدم الجمع بين عضوية المجلس والعمل في المركز أو الجهة المشرفة.
٣- عدم العضوية في المجلس لأكثر من دورتين.
٤- عدم عضوية أحد أعضاء السلك القضائي في مجلس الإدارة.</t>
  </si>
  <si>
    <t>تعريف المجلس الجديد بعمل الجمعية  وخاصة الجوانب المالية والقانونية.</t>
  </si>
  <si>
    <t>تعيين المدير التنفيذي والمحاسب  والمشرف المالي.</t>
  </si>
  <si>
    <t>انتخاب أعضاء مجلس الإدارة</t>
  </si>
  <si>
    <t>يؤدي مجلس الإدارة مهامه واختصاصاته التالية بفاعلية:</t>
  </si>
  <si>
    <t>يضع ويفعل مجلس الإدارة سياسات وأسس الحوكمة التالية:</t>
  </si>
  <si>
    <t xml:space="preserve">يحدد مجلس الإدارة المسؤوليات ويمنح الصلاحيات المالية وغير المالية ويتأكد ما يلي: </t>
  </si>
  <si>
    <t>يعقد مجلس الإدارة اجتماعاته بشكل منتظم وفعال وبما لا يقل عن اجتماع واحد كل ثلاثة أشهر.</t>
  </si>
  <si>
    <t>يتجنب أعضاء مجلس الإدارة من غير موافقة الوزير أو من يفوضه ما يلي:</t>
  </si>
  <si>
    <t xml:space="preserve"> يتلقّى أعضاء مجلس الإدارة الجدد المعارف الضرورية لعمل الجمعية وخاصة الجوانب </t>
  </si>
  <si>
    <t>يعين مجلس الإدارة بقرار منه كل من:</t>
  </si>
  <si>
    <t xml:space="preserve">يتم ترشيح أعضاء مجلس الإدارة وفق الإجراءات التالية: </t>
  </si>
  <si>
    <t>١- وضع خطط عمل الجمعية ومنها الخطة الاستراتيجية والخطة التنفيذية وغيرها من خطط العمل الرئيسة، ومتابعة تنفيذها،
واعتمادها من الجمعية العمومية.
٢- وضع أنظمة وضوابط للرقابة الداخلية والإشراف عليها وإجراء مراجعة دورية للتحقق من فاعليتها.
٣- البت في قبول عضو الجمعية العمومية الجديد أو اعتذاره أو إلغاء عضويته بقرار مسبب.
٤-  إبلاغ المركز بكل تغيير يطرأ على حالة أعضاء الجمعية العمومية ومجلس الإدارة والمسؤول التنفيذي والمدير المالي وذلك خلال شهر من تاريخ حدوث التغيير.
٥- الإشراف على تنفيذ قرارات وتعليمات الجمعية العمومية أو المراجع الخارجي.</t>
  </si>
  <si>
    <t>١- السياسات العامة لتحقيق أهداف الجمعية ونجاحها.
٢- أسس ومعايير لحوكمة الجمعية لا تتعارض مع أحكام النظام واللائحة الأساسية والإشراف على تنفيذها ومراقبة مدى فاعليتها وتعديلها عند الحاجة.
٤- سياسة تنظيم العلاقة مع المستفيدين من خدمات الجمعية تضمن تقديم العناية اللازمة لهم.
٥- السياسات والإجراءات التي تضمن التزام الجمعية بالأنظمة واللوائح.</t>
  </si>
  <si>
    <t>١- تحديد الصلاحيات التي يفوضها، وإجراءات اتخاذ القرار ومدة التفويض، وعليه متابعة ممارسة تلك الصلاحيات التي يفوضها لغيره عبر تقارير دورية.
٢- أن التعاملات مع الحسابات البنكية الخاصة بالجمعية بتوقيع رئيس مجلس الإدارة أو نائبه و المشرف المالي
٣- وجود موافقة الوزير أو من يفوضه عند تفويض التعامل مع الحسابات البنكية لاثنين من أعضاء المجلس أو من قياديي الإدارة التنفيذية على أن يكونوا سعودي الجنسية.</t>
  </si>
  <si>
    <t xml:space="preserve">
١- الجمع بين عضوية مجلس الإدارة والعمل في الجمعية.
٢- المركز الجمع بين عضوية المجلس والعمل في أو الجهة المشرفة.
٣- العضوية في مجلس الإدارة لأكثر من دورتين.
كما يلتزم المجلس بعدم قبول عضوية أصحاب الفضيلة أعضاء السلك القضائي.</t>
  </si>
  <si>
    <t xml:space="preserve"> يتلقّى أعضاء مجلس الإدارة الجدد المعارف الضرورية لعمل الجمعية وخاصة الجوانب  المالية والقانونية ويتم التأكد بشكل دوري من المام واكتساب أعضاء المجلص المعلومات والمهارات الضرورية لعمل الجمعية
</t>
  </si>
  <si>
    <t>أولاً: المدير التنفيذي على أن يكون سعودي الجنسية ويشتمل قراره على ما يلي:
١- مهامه وصلاحياته ومسؤولياته.
٢- حقوقه والتزاماته.
٣- تحديد راتبه عبر لجنة مستقلة من مجلس الإدارة تُ كلف بدراسة كفاءات المدير ومؤهلاته وخبراته وتحدد راتبه بناء على ذلك، مع اعتبار نطاق ومتوسط رواتب المديرين التنفيذيين في الجمعيات المشابهة في الحجم والمجال.
ثانيا  : محاسب الجمعية على أن يكون سعودي الجنسية.
كما ويجب أن تُرسل نسخة من قرارات التعيين ومسوغات الراتب الى المركز  ، مع إرفاق صور من بطاقات الهوية الوطنية بيانات التواصل
يلتزم المشرف المالي في مجلس الإدارة بمسؤولياته واختصاصاته المالية ومنها الإشراف على:
١- جميع شؤون الجمعية المالية طبقا ً للنظام والأصول المالية المتبعة.
٢- موارد الجمعية ومصروفاتها واستخراج إيصالات عن جميع العمليات واستلامها.
٣- إيداع أموال الجمعية في الحسابات البنكية المخصصة لها.
٤- قيد جميع الإيرادات والمصروفات تباعا ً في السجلات الخاصة بها.
٥- الجرد السنوي وتقديم تقرير بنتيجة الجرد لمجلس الإدارة.
٦- صرف جميع المبالغ التي تقرر صرفها نظاما ً مع الاحتفاظ بالمستندات المثبتة لصحة الصرف ومراقبة المستندات وحفظها.
٧- تنفيذ قرارات مجلس الإدارة فيما يتعلق بالمعاملات المالية.
٨- إعداد ميزانية الجمعية للسنة التالية وعرضها على مجلس الإدارة.
٩- التوقيع على طلبات الصرف والأوراق المالية مع رئيس مجلس الإدارة أو نائبه.
١٠- بحث الملاحظات الواردة من المراجع الخارجي، والرد عليها على حسب الأصول النظامية.</t>
  </si>
  <si>
    <t xml:space="preserve">
١- يتم دعوة جميع أعضاء الجمعية العمومية ممن تنطبق عليهم شروط الترشيح لعضوية مجلس الإدارة قبل نهاية مدة مجلس الإدارة بمئة وثمانين يوما على الأقل.
٢- يقفل باب التر شيح قبل تسعين يوما من نهاية مدة مجلس الإدارة على الأقل.
٣- يرفع مجلس الإدارة أسماء المرشحين إلى المركز وفق النموذج أو الطريقة المعتمدة من المركز
٤- ترفع لجنة الانتخابات بالتنسيق مع مجلس الإدارة قائمة المترشحين الواردة من المركز في مقر الجمعية أو موقع الجمعية الإلكتروني قبل نهاية مدة مجلس الإدارة بخمسة عشر يوما على الأقل.
٥- تنتخب الجمعية العمومية أعضاء مجلس الإدارة الجديد باجتماعها العادي من قائمة المترشحين، وعلى مجلس الإدارة الجديد تزويد المركز بأسماء الأعضاء الذين تم انتخابهم خلال خمسة عشر يوما من تاريخ الانتخاب.</t>
  </si>
  <si>
    <t>١- وضع الخطط اللازمة واعتمادها من الجمعية العمومية ومتابعة تنفيذها باستمرار.
٢- وضع آلية لإدارة طلبات العضوية في الجمعية العمومية.
٣- التأكد من وجود أنظمة وضوابط فعالة للرقابة الداخلية ومراجعتها من خلال اجتماعات الإدارة التنفيذية ومجلس الإدارة.
٤- التأكد من عدم وجود طلبات عضوية جديدة أو طلبات اعتذار أو إلغاء عضوية لم يتم عرضها على المجلس.
٥- المركز إبلاغ بكل تغيير يطرأ في الجمعية العمومية أو مجلس الإدارة أو المسؤول أو المدير التنفيذي.
٦- متابعة تنفيذ قرارات وتعليمات الجمعية العمومية أو المراجع الخارجي</t>
  </si>
  <si>
    <t>التأكد من وجود وتفعيل السياسات وأسس الحوكمة التالية:
سياسة تعارض المصالح - سياسة الإبلاغ عن المخالفات وحماية مقدمي البلاغات -سياسة خصوصية البيانات - سياسة الاحتفاظ بالوثائق وإتلافها - سياسة جمع التبرعات - سياسة تنظيم العلاقة مع المستفيدين وتقديم الخدمات - لائحة الموارد البشرية - آلية لإدارة المتطوعين - الميثاق الأخلاقي للعاملين في الجمعية.</t>
  </si>
  <si>
    <t>١- التأكد من توثيق جميع الإيرادات إلى الجمعية.
٢- التأكد من أن جميع النفقات متوافقة مع أهداف الجمعية.
٣- تحديد المسؤوليات والصلاحيات التي سيفوضها وإجراءات اتخاذ القرار ومدة التفويض.
٤- تصميم أداة لمتابعة المسؤوليات والصلاحيات التي يفوضها مجلس الإدارة لغيره.
٥- عند التعاملات أو التفويض المالي يجب التأكد من إتباع الإجراءات المحددة في الممارسة.</t>
  </si>
  <si>
    <t>1- جدولة اجتماعات مجلس الإدارة بداية كل سنة مالية.
2- عقد اجتماع واحد على الأقل لمجلس الإدارة كل ثلاثة أشهر.
3- تشكيل لجنة تنفيذية من المجلس لمعالجة القضايا الفرعية التي تتطلب قرار سريع.
4- التأكد من حضور ما لا يقل عن ثلثي الأعضاء اجتماعات المجلس في كل اجتماع.</t>
  </si>
  <si>
    <t>مراجعة حالة أعضاء المجلس والتأكد من عدم جمع الأعضاء عضوية المجلس و العمل في الجمعية أو في المركز أو في الجهة المشرفة أو عضويتهم لأكثر من دورتين دون وجود موافقة من الوزير أو من يفوضه.</t>
  </si>
  <si>
    <t>عقد ورش عمل مكثفة لتعريف مجلس الإدارة الحالي بعمل الجمعية وخاصة الجوانب المالية والقانونية.
وضع إجراءات محددة وواضحة لتعريف أي عضو جديد في المجلس بعمل الجمعية.
عقد الاستطلاعات والمقابلات المباشرة مع أعضاء الجمعية العمومية ومجلس لإدارة للتأكد من الإلمام بالمعلومات الوافية عن شؤون الجمعية.</t>
  </si>
  <si>
    <t>التأكد من وجود قرار من مجلس الإدارة عند تعيين المدير التنفيذي وتحديد المهام، الصلاحيات، المسؤوليات ، الحقوق والالتزامات.
تحديد راتب المدير التنفيذي من خلال لجنة من مجلس الإدارة.
إرسال نسخة من قرار التعيين ومسوغات الراتب إلى المركز، مع صورة من بطاقة الهوية وبيانات التواصل
التأكد من قدرات المشرف المالي للقيام بجميع الاختصاصات المحددة في الممارسة.
التأكد من قيام المشرف المالي بمسؤولياته واختصاصاته المحددة في الممارسة</t>
  </si>
  <si>
    <t>عقد ورشة عمل لمراجعة الإجراءات الحالية عند ترشيح مجلس الإدارة الجديد والترتيب للمجلس الجديد وفق الإجراءات المحددة.
جدولة الإجراءات المتعلقة بالمجلس القادم.
تشكيل لجنة الانتخابات من أعضاء الجمعية العمومية بوقت كاف ٍ.</t>
  </si>
  <si>
    <t>١- أداة الخطة الاستراتيجية والتشغيلية.
٢- الإشراف أداة ومتابعة الخطط.
٣- نموذج لأنظمة وضوابط الرقابة الداخلية.
٤- نموذج طلب العضوية في الجمعية العمومية.
٥- نموذج طلب الاعتذار عن العضوية في الجمعية العمومية.
٦- نموذج إلغاء عضوية أحد أعضاء الجمعية العمومية.</t>
  </si>
  <si>
    <t>.</t>
  </si>
  <si>
    <t>أداة ادارة صلاحية الإدارة ومتابعة ما يتم تفويضه.</t>
  </si>
  <si>
    <t>1-  نموذج ترشيح عضو الجمعية العمومية لعضوية مجلس الإدارة.
2- نموذج تشكيل لجنة الانتخابات</t>
  </si>
  <si>
    <t>اللائحة التنفيذية لنظام الجمعيات والمؤسسات الأهلية</t>
  </si>
  <si>
    <t>اللائحة التنفيذية لنظام الجمعيات والمؤسسات الأهلية
نظام الجمعيات والمؤسسات الأهلية.
التعاميم ذات العلاقة</t>
  </si>
  <si>
    <t>18 - 26 - 27 -28 - 37050</t>
  </si>
  <si>
    <t>اللائحة الأساسية للجمعية.
التعاميم ذات العلاقة</t>
  </si>
  <si>
    <t>46 - 41</t>
  </si>
  <si>
    <t>١- خطط العمل المعتمدة.
٢- نظام الرقابة الداخلي.
٣- آلية إدارة طلبات العضوية في الجمعية العمومية.
٤- طلبات العضوية للجمعية العمومية.
٥- طلبات الاعتذار عن العضوية أو إلغاء العضوية أو النماذج.
٦- محاضر اجتماعات الجمعية العمومية.
٧- محاضر مجلس الإدارة
٨- قرار التكليف أو التعيين للمدير التنفيذي والمدير المالي</t>
  </si>
  <si>
    <t>١- سياسة تعارض المصالح المعتمدة.
٢- سياسة الابلاغ عن المخالفات وحماية مقدمي البلاغات المعتمدة.
٣- سياسة خصوصية البيانات المعتمدة.
٤- سياسة الاحتفاظ بالوثائق وإتلافها المعتمدة.
٥- سياسة جمع التبرعات المعتمدة.
٦- سياسة تنظيم العلاقة مع المستفيدين وتقديم الخدمات المعتمدة.
٧- آلية إدارة المتطوعين المعتمدة من مجلس الإدارة.
٨- لائحة الموارد البشرية المعتمدة.
٩- نماذج من الميثاق الأخلاقي الموقّ عة من العاملين في الجمعية.
١٠- قائمة العاملين في الجمعية</t>
  </si>
  <si>
    <t xml:space="preserve">
١- لائحة صلاحيات المجلس والصلاحيات الممنوحة من مجلس الإدارة.
٢- قائمة بصلاحيات المجلس والصلاحيات التي يفوضها وإجراءات اتخاذ القرار ومدة التفويض.
٣- تقارير متابعة ممارسة الصلاحيات الممنوحة.
٤- موافقة الوزير أو من يفوضه في حال تم التفويض لاثنين من أعضاء المجلس أو من قياديي الإدارة التنفيذية على أن يكونوا سعودي الجنسية</t>
  </si>
  <si>
    <t>محاضر اجتماعات مجلس الإدارة.</t>
  </si>
  <si>
    <t xml:space="preserve">
١- قائمة بأسماء أعضاء مجلس الإدارة المحد ّ ثة ووظائفهم الرئيسية.
٢- قائمة أسماء أعضاء مجلس الإدارة في الدورتين السابقتين.
٣- الهيكل التنظيمي المعتمد للجمعية.
٤- قائمة بأسماء العاملين في كل إدارة وقسم.
٥- المراسلات والخطابات التي تمت بين الجمعية والوزير أو من يفوضه</t>
  </si>
  <si>
    <t>قائمة بالإجراءات المتّبعة لتعريف أعضاء المجلس الجدد بعمل الجمعية.
تقارير برامج التوعية الداخلية (المالية والقانونية) لأعضاء المجلس.</t>
  </si>
  <si>
    <t>١-  قرار بتعيين المدير التنفيذي والمحاسب.
٢- عقد المدير التنفيذي والمحاسب.
٣- المراسلات والخطابات المركز بين و الجمعية 
٤- اللائحة الأساسية المعتمدة للجمعية.
٥- مؤهلات المشرف المالي</t>
  </si>
  <si>
    <t>موافقة المركز السابقة على المجلس الذي انتهت دورته أو الذي على وشك الانتهاء.
قرار تشكيل لجنة الانتخابات.
قائمة المرشحين لعضوية المجلس الجديد.
الدعوات والمراسلات التي تمت بين الجمعية والمركز 
الدعوات والمراسلات التي تمت بين مجلس الإدارة وأعضاء الجمعية العمومية.
محاضر اجتماع لجنة الانتخابات مع مجلس الإدارة لعرض قائمة الأسماء الواردة من المركز
محاضر فرز الأصوات لانتخاب أعضاء المجلس من قائمة المترشحين</t>
  </si>
  <si>
    <t>المجال 
(مجلس الادارة)</t>
  </si>
  <si>
    <t>المجال 
(مجلس الإدارة)</t>
  </si>
  <si>
    <t xml:space="preserve"> هل يوجد مراجع داخلي او موظف التزام لمراجعة وتحديث اللوائح والسياسات الداخلية؟</t>
  </si>
  <si>
    <t xml:space="preserve">
مجلس الادارة</t>
  </si>
  <si>
    <t xml:space="preserve"> ١- وجود قرار التكليف أو التعيين
٢- محتوى محاضر اجتماعات مجلس الإدارة</t>
  </si>
  <si>
    <t>وضع الخطط اللازمة واعتمادها من الجمعية العمومية ومتابعة تنفيذها باستمرار</t>
  </si>
  <si>
    <t>https://drive.google.com/file/d/1zg9VMJpxE
-h0b7stug-jcStSZpzOSota/view?usp=sharing</t>
  </si>
  <si>
    <t>هل توجد سياسة لتعارض
المصالح معتمدة من مجلس
الإدارة؟</t>
  </si>
  <si>
    <t xml:space="preserve">
مجلس الإدارة</t>
  </si>
  <si>
    <t xml:space="preserve"> ١- وجود سياسة لتعارض المصالح.
٢- محتوى محاضر اجتماع مجلس الإدارة.
</t>
  </si>
  <si>
    <t>التأكد من وجود وتفعيل السياسات وأسس الحوكمة التالية:
سياسة تعارض المصالح - سياسة الإبلاغ عن المخالفات وحماية مقدمي البلاغات
 -سياسة خصوصية البيانات - سياسة الاحتفاظ بالوثائق وإتلافها - سياسة جمع التبرعات - سياسة تنظيم العلاقة مع المستفيدين
 وتقديم الخدمات - لائحة الموارد البشرية - آلية لإدارة المتطوعين - الميثاق الأخلاقي للعاملين في الجمعية.</t>
  </si>
  <si>
    <t>https://drive.google.com/file/d/1VLMLfsK7Nwlmv
H6rLZixDm_VNqCYmVt3/view?usp=sharing</t>
  </si>
  <si>
    <t>هل توجد لائحة لصلاحيات المجلس والصلاحيات الممنوحة من قبل مجلس الإدارة؟</t>
  </si>
  <si>
    <t>وجود لائحة صلاحيات المجلس والصلاحيات الممنوحة من مجلس الإدارة</t>
  </si>
  <si>
    <t>https://drive.google.com/file/d/1H4unK400YlueZJ5vtUFoacCwUSfbBVuU/view?usp=sharing</t>
  </si>
  <si>
    <t>هل اجتمع مجلس الإدارة (لا يقصد اللجنة التنفيذية) خلال السنة المالية السابقة أربعة اجتماعات على الأقل؟</t>
  </si>
  <si>
    <t>محتوى محاضراجتماعات مجلس الإدارة</t>
  </si>
  <si>
    <t xml:space="preserve">نعم ٤ مرات فأكثر </t>
  </si>
  <si>
    <t>1- جدولة اجتماعات مجلس
 الإدارة بداية كل سنة مالية</t>
  </si>
  <si>
    <t>https://drive.google.com/file/d/1yBzpl-NjECQTNnU8WxXbGD5Mn9ZsD_H-/view?usp=sharing</t>
  </si>
  <si>
    <t>هل يوجد أحد أعضاء مجلس الإدارة يعمل في إدارة
الجمعية أو في إحدى وظائفها؟</t>
  </si>
  <si>
    <t>١- محتوى قائمة أسماء أعضاء مجلس الإدارة المحدثة ووظائفهم الرئيسية
٢- محتوى الهيكل الوظيفي المعتمد
٣- محتوى قائمة أسماء العاملين في الجمعية
٤- محتوى إجابات المعنيين</t>
  </si>
  <si>
    <t>مراجعة حالة أعضاء المجلس والتأكد من عدم جمع الأعضاء
 عضوية المجلس و العمل في الجمعية أو في المركز أو في 
الجهة المشرفة أو عضويتهم لأكثر من دورتين دون وجود
 موافقة من الوزير أو من يفوضه.</t>
  </si>
  <si>
    <t>https://drive.google.com/file/d/1Wy1X3QV2TQxtT3_cS4DcmUTQUtf-zxf7/view?usp=sharing</t>
  </si>
  <si>
    <t>هل تم تقديم برامج تعريفية مخصصة لأعضاء مجلس الإدارة متعلقة بعمل الجمعية والواجبات والمهام وفق نظام الجمعيات والمؤسسات الأهلية، وذلك خلال السنة المالية الحالية أو السابقة؟</t>
  </si>
  <si>
    <t>محتوى تقارير برامج التوعية الداخلية (المالية والقانونية) لأعضاء المجلس</t>
  </si>
  <si>
    <t>عقد ورش عمل مكثفة لتعريف مجلس 
الإدارة الحالي بعمل الجمعية وخاصة
 الجوانب المالية والقانونية.</t>
  </si>
  <si>
    <t>https://drive.google.com/file/d/1ACnQLPBF
B62_xuJFv6XMvujYTT0AVY0T/view?usp=sharing</t>
  </si>
  <si>
    <t>هل تم تعيين مدير تنفيذي
في الجمعية</t>
  </si>
  <si>
    <t>١- وجود قرار مجلس الإدارة بتعيين المدير التنفيذي.
٢- وجود عقد المدير التنفيذي</t>
  </si>
  <si>
    <t>https://drive.google.com/file/d/1UwQmXY330i5l3eqOKkKclNAOdRkbe51J/view?usp=sharing</t>
  </si>
  <si>
    <t>هل مدة دورة مجلس الإدارة
انتهت قريبا ً (ستة أشهر قبل
التقييم) أو على وشك
الانتهاء (شهر بعد التقييم)؟</t>
  </si>
  <si>
    <t xml:space="preserve"> محتوى موافقة المركز السابقة على المجلس الذي انتهت دورته أو الذي على وشك الانتهاء</t>
  </si>
  <si>
    <t>https://drive.google.com/file/d/1d8876ouDKnkOYWrj72q3jo86LZCYlFrm/view?usp=sharing</t>
  </si>
  <si>
    <t>هل تم تكليفه أو تعيينه من مجلس الإدارة؟</t>
  </si>
  <si>
    <t>محتوى محاضر اجتماعات مجلس الإدارة.</t>
  </si>
  <si>
    <t>تم تكليفه</t>
  </si>
  <si>
    <t>هل توجد علاقة تعاقدية أو تجارية من الدرجة الأولى إلى الدرجة الرابعة بين أحد أعضاء الجمعية العمومية أو أعضاء مجلس الإدارة أو موظفي الجمعية؟</t>
  </si>
  <si>
    <t xml:space="preserve">١- وجود سياسة لتعارض المصالح
٢- محتوى نماذج الإفصاح </t>
  </si>
  <si>
    <t>هل توجد قائمة بصلاحيات المجلس والصلاحيات التي فوضها وإجراءات اتخاذ القرار ومدة التفويض؟</t>
  </si>
  <si>
    <t>https://drive.google.com/file/d/158YXxToJa2zhdoxa3BW0jb-67wi6xvPY/view?usp=sharing</t>
  </si>
  <si>
    <t>هل  عقدت الاجتماعات بشكل منتظم (كل ٣ أشهر مرة واحدة على الأقل)؟</t>
  </si>
  <si>
    <t>عقد اجتماع واحد على الأقل 
لمجلس الإدارة كل ثلاثة أشه</t>
  </si>
  <si>
    <t xml:space="preserve">هل توجد موافقة من المركز؟ </t>
  </si>
  <si>
    <t>محتوى المراسلات والخطابات التي تمت بين الجمعية والوزير أو من يفوضه.</t>
  </si>
  <si>
    <t>هل تم تشكيل لجنة انتخابات
في الاجتماع العمومي
الذي يسبق اجتماع الترشيح؟</t>
  </si>
  <si>
    <t>محتوى قرار تشكيل لجنة الانتخابات</t>
  </si>
  <si>
    <t>https://drive.google.com/file/d/1qrjrzxsljWNQEsyKTB_k7NXS1IrcNCkk/view?usp=sharing</t>
  </si>
  <si>
    <t>وجود قائمة بصلاحيات المجلس والصلاحيات التي فوضها وإجراءات اتخاذ القرار ومدة التفويض</t>
  </si>
  <si>
    <t>هل توجد سياسة للإبلاغ عن
المخالفات وحماية مقدمي
البلاغات معتمدة من مجلس
الإدارة؟</t>
  </si>
  <si>
    <t>1- وجود سياسة للإبلاغ
عن المخالفات وحماية
مقدمي البلاغات.
 2- محاضر اجتماع محتوى
مجلس الإدارة.</t>
  </si>
  <si>
    <t>هل يوجد نظام رقابة داخلي لمراجعة أوامر وقرارات الصرف الداخلية 
ومراجعة تطابق قرارات الإدارة التنفيذية مع السياسات واللوائح الداخلية المعتمدة</t>
  </si>
  <si>
    <t>محتوى نظام 
الرقابة الداخلي</t>
  </si>
  <si>
    <t>التأكد من وجود أنظمة وضوابط فعالة للرقابة الداخلية
 ومراجعتها من خلال اجتماعات الإدارة التنفيذية ومجلس الإدارة</t>
  </si>
  <si>
    <t>https://drive.google.com/file/d/19I71y97kwQEVbGBt1OSFZrRAfeOzPaBb/view?usp=sharing</t>
  </si>
  <si>
    <t>هل يقوم المجلس بمتابعة ممارسة الصلاحيات المفوضة عبر تقارير المتابعة؟</t>
  </si>
  <si>
    <t xml:space="preserve"> 1- محتوى محاضر اجتماعات مجلس الإدارة 
 2-  وجود تقارير متابعة ممارسة الصلاحيات الممنوحة</t>
  </si>
  <si>
    <t>https://drive.google.com/file/d/1-hTcwsg8sXPxWrdROH6ZkobjANPBO482/view?usp=sharing</t>
  </si>
  <si>
    <t>هل يوجد أحد أعضاء مجلس الإدارة يعمل في الإدارة
المختصة بالإشراف على المركز الجمعية في أو الجهة
المشرفة؟</t>
  </si>
  <si>
    <t xml:space="preserve">
محتوى قائمة أسماء أعضاء مجلس الإدارة المحدثة ووظائفهم الرئيسية.</t>
  </si>
  <si>
    <t>https://drive.google.com/file/d/1AYrZCKe7tkQKeyCAeV9usZ6ggD1qmi7M/view?usp=sharing</t>
  </si>
  <si>
    <t>هل تم تعيينه (تعيين وليس تكليف) بقرار من قبل مجلس
الإدارة؟</t>
  </si>
  <si>
    <t>محتوى قرار مجلس
الإدارة بتعيين المدير
التنفيذي.</t>
  </si>
  <si>
    <t>هل أعضاء لجنة الانتخابات اثنين من أعضاء الجمعية
العمومية كحد أدنى وغير مرشحين لعضوية المجلس الجديد؟</t>
  </si>
  <si>
    <t xml:space="preserve">
١- محتوى قرار تشكيل لجنة الانتخابات.
٢- محتوى قائمة المرشحين لعضوية المجلس الجديد</t>
  </si>
  <si>
    <t>https://drive.google.com/file/d/11j2qtK3R5wVNnw-6vI3i_IlpcXTeAWzt/view?usp=sharing</t>
  </si>
  <si>
    <t>هل توجد سياسة لخصوصية
البيانات معتمدة من مجلس
الإدارة؟</t>
  </si>
  <si>
    <t xml:space="preserve"> 1- وجود سياسة
لخصوصية البيانات.
 2- محتوى محاضر اجتماع
مجلس الإدارة.</t>
  </si>
  <si>
    <t>هل تم اعتماد نظام الرقابة
الداخلي من مجلس الإدارة؟</t>
  </si>
  <si>
    <t>محتوى محاضر اجتماعات
 مجلس الإدارة.</t>
  </si>
  <si>
    <t>هل تم توضيح صلاحياته
ومسؤولياته وحقوقه
والتزاماته في قرار التعيين؟</t>
  </si>
  <si>
    <t>محتوى قرار مجلس
الإدارة بتعيين المدير
التنفيذي</t>
  </si>
  <si>
    <t>https://drive.google.com/file/d/1NcMnvMUG152_qGOHiiQvjTXu5EAHefni/view?usp=sharing</t>
  </si>
  <si>
    <t>هل دعا مجلس الإدارة جميع أعضاء الجمعية العمومية الذين تنطبق عليهم شروط الترشح لعضوية مجلس الإدارة قبل مئة وثمانين يوما على الأقل من نهاية مدة مجلس الإدارة؟</t>
  </si>
  <si>
    <t>محتوى الدعوات والمراسلات التي تمت بين مجلس الإدارة وأعضاء الجمعية العمومية.</t>
  </si>
  <si>
    <t>https://drive.google.com/file/d/1EDamT3BouliTnn597JMzCbfF7640UMoY/view?usp=sharing</t>
  </si>
  <si>
    <t>هل توجد سياسة للاحتفاظ
بالوثائق وإتلافها معتمدة من
مجلس الإدارة؟</t>
  </si>
  <si>
    <t xml:space="preserve"> 1- وجود سياسة للاحتفاظ
بالوثائق وإتلافها.
 2- محتوى محاضر اجتماع
مجلس الإدارة.</t>
  </si>
  <si>
    <t>هل يشرف المجلس على تنفيذ قرارات 
وتعليمات الجمعية العمومية أو المراجع الخارجي؟</t>
  </si>
  <si>
    <t>١- محتوى تقارير المتابعة والإشراف.
 ٢- محتوى محاضر مجلس الإدارة</t>
  </si>
  <si>
    <t>متابعة تنفيذ قرارات وتعليمات الجمعية العمومية أو المراجع الخارجي</t>
  </si>
  <si>
    <t>https://drive.google.com/file/d/1RGsHDWVc5SwoHY_RtEoHi_wLtLcvrmUF/view?usp=sharing</t>
  </si>
  <si>
    <t>هل يوجد أحد من أعضاء
مجلس الإدارة استمر في عضويته لأكثر من دورتين متتاليتين؟</t>
  </si>
  <si>
    <t>محتوى قائمة أسماء أعضاء مجلس الإدارة في الدورتين السابقتين وفي الدورة الحالية.</t>
  </si>
  <si>
    <t>https://drive.google.com/file/d/1b2nz2kZIaZKqmignC4ukQjGFkE2sbHei/view?usp=sharing</t>
  </si>
  <si>
    <t>هل تم إرسال نسخة من قرار التعيين ومسوغات الراتب مع إرفاق صورة من هويته الوطنية وبيانات التواصل معه الى المركز ؟</t>
  </si>
  <si>
    <t>محتوى المراسلات
والخطابات التي تمت.</t>
  </si>
  <si>
    <t>https://drive.google.com/file/d/1TE6ICz0CGFSQZ363sa_5Ru11Z4ZEgoIn/view?usp=sharing</t>
  </si>
  <si>
    <t>هل تم إقفال باب الترشيح قبل تسعين يوما من نهاية مدة المجلس على الأقل ورفع أسماء المترشحين إلى المركز خلال أسبوع من قفل باب الترشيح؟</t>
  </si>
  <si>
    <t xml:space="preserve">محتوى المراسلات والخطابات التي تمت بين المركز </t>
  </si>
  <si>
    <t>https://drive.google.com/file/d/1x52WXP8KvDkB4iXZVamIK-ry0tEa6g-O/view?usp=sharing</t>
  </si>
  <si>
    <t>هل توجد
سياسة لجمع التبرعات
معتمدة من مجلس الإدارة؟</t>
  </si>
  <si>
    <t xml:space="preserve"> 1- وجود سياسة لجمع
التبرعات.
 2- محتوى محاضر اجتماع
مجلس الإدارة.</t>
  </si>
  <si>
    <t>هل يوجد لدى الجمعية
محاسب سعودي الجنسية؟</t>
  </si>
  <si>
    <t>١- وجود قرار مجلس الإدارة بتعيين محاسب الجمعية
٢- وجود عقد المحاسب</t>
  </si>
  <si>
    <t>https://drive.google.com/file/d/1WEUCmcl2CjLU5GvyWsZkkqsRiqjd-gNl/view?usp=sharing</t>
  </si>
  <si>
    <t>هل عرضت لجنة الانتخابات بالتنسيق مع مجلس الإدارة قائمة أسماء المترشحين
 المركز الواردة من في مقر الجمعية أو موقع الجمعية الإلكتروني قبل خمسة عشر يوما على الأقل من نهاية مدة المجلس؟</t>
  </si>
  <si>
    <t>محتوى محاضر اجتماع
لجنة الانتخابات مع مجلس
الإدارة لعرض قائمة الأسماء
. المركز</t>
  </si>
  <si>
    <t>https://drive.google.com/file/d/1Th4xO2fYMFe2MJZWNbc8h2BDz85HuDSq/view?usp=sharing</t>
  </si>
  <si>
    <t>هل يوجد أحد أعضاء مجلس
الإدارة من أصحاب الفضيلة
في السلك القضائي؟</t>
  </si>
  <si>
    <t>محتوى قائمة أسماء أعضاء مجلس
الإدارة المحدثة ووظائفهم الرئيسية.</t>
  </si>
  <si>
    <t>https://drive.google.com/file/d/1pEJeep94W-v9SHS9PZLxn-CVbaXDyHb2/view?usp=sharing</t>
  </si>
  <si>
    <t>هل زود مجلس الإدارة الجديد المركز بأسماء الأعضاء الذين تم انتخابهم خلال خمسة عشر يوما من تاريخ الانتخاب؟</t>
  </si>
  <si>
    <t>https://drive.google.com/file/d/120N739ftEbpPeKPkRNxuuaneoeY91663/view?usp=sharing</t>
  </si>
  <si>
    <t>هل توجد سياسة لتنظيم العلاقة مع المستفيدين (المستفيدين من الخدمة التي تقدمها الجمعية) معتمدة من مجلس الإدارة؟</t>
  </si>
  <si>
    <t>1- وجود سياسة تنظيم العلاقة مع المستفيدين وتقديم الخدمات
2- محتوى محاضر اجتماع مجلس الإدارة.</t>
  </si>
  <si>
    <t>هل تحتوي السياسة على آلية
للتأكد من استحقاق المستفيد؟</t>
  </si>
  <si>
    <t>وجود آلية للتأكد من
استحقاق المستفيد.</t>
  </si>
  <si>
    <t>هل تم دراسة احتياجات
المستفيدين؟</t>
  </si>
  <si>
    <t>محتوى دراسة
الاحتياج للمستفيدين.</t>
  </si>
  <si>
    <t>https://drive.google.com/file/d/1m729N_i98-GssM12WBHho4qU1tBaIGVP/view?usp=sharing</t>
  </si>
  <si>
    <t>هل تم توزيع التبرعات (الخدمات ) بشكل عادل ومنصف بين المستفيدين ؟</t>
  </si>
  <si>
    <t>سجل / تقرير توزيع
التبرعات (الخدمات).</t>
  </si>
  <si>
    <t>https://drive.google.com/file/d/1K2gImJNrXWck5wjrWKf97HE5LT1EarSh/view?usp=sharing</t>
  </si>
  <si>
    <t>هل تلبي التبرعات(الخدمات)
الاحتياجات الفعلية
للمستفيدين؟</t>
  </si>
  <si>
    <t>هل تم تسجيل وتوثيق توزيع
التبرعات(الخدمات) بطريقة
صحيحة وشفافة؟</t>
  </si>
  <si>
    <t xml:space="preserve">
١- سجل / تقرير توزيع التبرعات
(الخدمات).
٢- القوائم المالية
٣- كشف حساب بنكي</t>
  </si>
  <si>
    <t>هل توجد تقارير دورية تفيد
التبرعات(الخدمات) بتسليم
للمستفيدين؟</t>
  </si>
  <si>
    <t>هل توجد آلية لإدارة المتطوعين
في الجمعية معتمدة من
مجلس الإدارة؟</t>
  </si>
  <si>
    <t xml:space="preserve">
وجود آلية لإدارة
المتطوعين.</t>
  </si>
  <si>
    <t>https://drive.google.com/file/d/1xvCRUpSqXmqJA006prswDK4EElCp5usg/view?usp=sharing</t>
  </si>
  <si>
    <t>هل توجد لائحة للموارد البشرية في
الجمعية معتمدة من
مجلس الإدارة؟</t>
  </si>
  <si>
    <t xml:space="preserve">
وجود لائحة الموارد
البشرية.</t>
  </si>
  <si>
    <t>https://drive.google.com/file/d/10BijcE4E7aHBr6iqxZ4cNtbNm0V0oYPX/view?usp=sharing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</si>
</sst>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2000401]0"/>
  </numFmts>
  <fonts count="20">
    <font>
      <sz val="12.0"/>
      <color theme="1"/>
      <name val="Aptos Narrow"/>
      <scheme val="minor"/>
    </font>
    <font>
      <sz val="20.0"/>
      <color theme="1"/>
      <name val="Aptos Narrow"/>
    </font>
    <font>
      <sz val="20.0"/>
      <color theme="1"/>
      <name val="FF Shamel Sans One Normal"/>
    </font>
    <font>
      <sz val="20.0"/>
      <color theme="0"/>
      <name val="FF Shamel Sans One Normal"/>
    </font>
    <font/>
    <font>
      <sz val="19.0"/>
      <color rgb="FF006100"/>
      <name val="Arial"/>
    </font>
    <font>
      <u/>
      <sz val="12.0"/>
      <color theme="10"/>
      <name val="Aptos Narrow"/>
    </font>
    <font>
      <sz val="20.0"/>
      <color rgb="FF006100"/>
      <name val="FF Shamel Sans One Normal"/>
    </font>
    <font>
      <u/>
      <sz val="12.0"/>
      <color theme="10"/>
      <name val="Aptos Narrow"/>
    </font>
    <font>
      <u/>
      <sz val="12.0"/>
      <color theme="10"/>
      <name val="Aptos Narrow"/>
    </font>
    <font>
      <sz val="20.0"/>
      <color rgb="FF9C0006"/>
      <name val="FF Shamel Sans One Normal"/>
    </font>
    <font>
      <sz val="20.0"/>
      <color rgb="FF006100"/>
      <name val="Aptos Narrow"/>
    </font>
    <font>
      <sz val="20.0"/>
      <color rgb="FF9C5700"/>
      <name val="Aptos Narrow"/>
    </font>
    <font>
      <sz val="22.0"/>
      <color theme="1"/>
      <name val="FF Shamel Sans One Normal"/>
    </font>
    <font>
      <sz val="22.0"/>
      <color theme="0"/>
      <name val="FF Shamel Sans One Normal"/>
    </font>
    <font>
      <sz val="12.0"/>
      <color theme="1"/>
      <name val="Aptos Narrow"/>
    </font>
    <font>
      <sz val="22.0"/>
      <color rgb="FF006100"/>
      <name val="FF Shamel Sans One Normal"/>
    </font>
    <font>
      <sz val="22.0"/>
      <color rgb="FF9C5700"/>
      <name val="FF Shamel Sans One Normal"/>
    </font>
    <font>
      <sz val="22.0"/>
      <color rgb="FF9C0006"/>
      <name val="FF Shamel Sans One Normal"/>
    </font>
    <font>
      <u/>
      <sz val="22.0"/>
      <color theme="10"/>
      <name val="FF Shamel Sans One Normal"/>
    </font>
  </fonts>
  <fills count="8">
    <fill>
      <patternFill patternType="none"/>
    </fill>
    <fill>
      <patternFill patternType="lightGray"/>
    </fill>
    <fill>
      <patternFill patternType="solid">
        <fgColor rgb="FF89273E"/>
        <bgColor rgb="FF89273E"/>
      </patternFill>
    </fill>
    <fill>
      <patternFill patternType="solid">
        <fgColor rgb="FF113D43"/>
        <bgColor rgb="FF113D43"/>
      </patternFill>
    </fill>
    <fill>
      <patternFill patternType="solid">
        <fgColor rgb="FFC6EFCE"/>
        <bgColor rgb="FFC6EFCE"/>
      </patternFill>
    </fill>
    <fill>
      <patternFill patternType="solid">
        <fgColor rgb="FF8ED873"/>
        <bgColor rgb="FF8ED873"/>
      </patternFill>
    </fill>
    <fill>
      <patternFill patternType="solid">
        <fgColor rgb="FFFFC7CE"/>
        <bgColor rgb="FFFFC7CE"/>
      </patternFill>
    </fill>
    <fill>
      <patternFill patternType="solid">
        <fgColor rgb="FFFFEB9C"/>
        <bgColor rgb="FFFFEB9C"/>
      </patternFill>
    </fill>
  </fills>
  <borders count="15">
    <border/>
    <border>
      <left style="thin">
        <color rgb="FFD0D0D0"/>
      </left>
      <top/>
      <bottom/>
    </border>
    <border>
      <top/>
      <bottom/>
    </border>
    <border>
      <right/>
      <top/>
      <bottom/>
    </border>
    <border>
      <left style="thin">
        <color rgb="FFD0D0D0"/>
      </left>
      <right style="thin">
        <color rgb="FFD0D0D0"/>
      </right>
      <top style="thin">
        <color rgb="FFD0D0D0"/>
      </top>
      <bottom style="thin">
        <color rgb="FFD0D0D0"/>
      </bottom>
    </border>
    <border>
      <left style="thin">
        <color rgb="FFD0D0D0"/>
      </left>
    </border>
    <border>
      <left/>
      <right/>
      <top style="thin">
        <color rgb="FFD0D0D0"/>
      </top>
    </border>
    <border>
      <left/>
      <right/>
    </border>
    <border>
      <left/>
      <right/>
      <bottom/>
    </border>
    <border>
      <left/>
      <right/>
      <top/>
    </border>
    <border>
      <left/>
      <top/>
      <bottom/>
    </border>
    <border>
      <left/>
      <top/>
    </border>
    <border>
      <right/>
      <top/>
    </border>
    <border>
      <left/>
      <bottom/>
    </border>
    <border>
      <right/>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1" numFmtId="0" xfId="0" applyAlignment="1" applyFont="1">
      <alignment horizontal="center"/>
    </xf>
    <xf borderId="4" fillId="2" fontId="3" numFmtId="0" xfId="0" applyAlignment="1" applyBorder="1" applyFont="1">
      <alignment readingOrder="0" vertical="center"/>
    </xf>
    <xf borderId="5" fillId="0" fontId="2" numFmtId="0" xfId="0" applyAlignment="1" applyBorder="1" applyFont="1">
      <alignment horizontal="center" readingOrder="0" shrinkToFit="0" vertical="center" wrapText="1"/>
    </xf>
    <xf borderId="4" fillId="2" fontId="3" numFmtId="0" xfId="0" applyAlignment="1" applyBorder="1" applyFont="1">
      <alignment horizontal="center" readingOrder="0" vertical="center"/>
    </xf>
    <xf borderId="5" fillId="0" fontId="2" numFmtId="0" xfId="0" applyAlignment="1" applyBorder="1" applyFont="1">
      <alignment horizontal="center" readingOrder="0" vertical="center"/>
    </xf>
    <xf borderId="5" fillId="0" fontId="2" numFmtId="0" xfId="0" applyAlignment="1" applyBorder="1" applyFont="1">
      <alignment horizontal="center" readingOrder="2" shrinkToFit="0" vertical="center" wrapText="1"/>
    </xf>
    <xf borderId="1" fillId="2" fontId="3" numFmtId="0" xfId="0" applyAlignment="1" applyBorder="1" applyFont="1">
      <alignment horizontal="center" readingOrder="0" shrinkToFit="0" vertical="center" wrapText="1"/>
    </xf>
    <xf borderId="5" fillId="0" fontId="2" numFmtId="0" xfId="0" applyAlignment="1" applyBorder="1" applyFont="1">
      <alignment horizontal="right" readingOrder="2" shrinkToFit="0" vertical="center" wrapText="1"/>
    </xf>
    <xf borderId="5" fillId="0" fontId="4" numFmtId="0" xfId="0" applyBorder="1" applyFont="1"/>
    <xf borderId="6" fillId="2" fontId="3" numFmtId="0" xfId="0" applyAlignment="1" applyBorder="1" applyFont="1">
      <alignment horizontal="center" readingOrder="0" vertical="center"/>
    </xf>
    <xf borderId="0" fillId="0" fontId="2" numFmtId="0" xfId="0" applyAlignment="1" applyFont="1">
      <alignment horizontal="right" readingOrder="2" shrinkToFit="0" vertical="center" wrapText="1"/>
    </xf>
    <xf borderId="7" fillId="0" fontId="4" numFmtId="0" xfId="0" applyBorder="1" applyFont="1"/>
    <xf borderId="8" fillId="0" fontId="4" numFmtId="0" xfId="0" applyBorder="1" applyFont="1"/>
    <xf borderId="9" fillId="2" fontId="3" numFmtId="0" xfId="0" applyAlignment="1" applyBorder="1" applyFont="1">
      <alignment horizontal="center" readingOrder="0" shrinkToFit="0" vertical="center" wrapText="1"/>
    </xf>
    <xf borderId="0" fillId="0" fontId="2" numFmtId="0" xfId="0" applyAlignment="1" applyFont="1">
      <alignment horizontal="center" readingOrder="2" shrinkToFit="0" vertical="center" wrapText="1"/>
    </xf>
    <xf borderId="9" fillId="2" fontId="3" numFmtId="0" xfId="0" applyAlignment="1" applyBorder="1" applyFont="1">
      <alignment horizontal="center" readingOrder="0" vertical="center"/>
    </xf>
    <xf borderId="0" fillId="0" fontId="2" numFmtId="0" xfId="0" applyAlignment="1" applyFont="1">
      <alignment horizontal="center" readingOrder="2" vertical="center"/>
    </xf>
    <xf borderId="0" fillId="0" fontId="2" numFmtId="0" xfId="0" applyAlignment="1" applyFont="1">
      <alignment horizontal="center" vertical="center"/>
    </xf>
    <xf borderId="10" fillId="2" fontId="2" numFmtId="0" xfId="0" applyAlignment="1" applyBorder="1" applyFont="1">
      <alignment horizontal="center"/>
    </xf>
    <xf borderId="0" fillId="0" fontId="2" numFmtId="0" xfId="0" applyAlignment="1" applyFont="1">
      <alignment horizontal="center"/>
    </xf>
    <xf borderId="9" fillId="3" fontId="3" numFmtId="0" xfId="0" applyAlignment="1" applyBorder="1" applyFill="1" applyFont="1">
      <alignment horizontal="center" readingOrder="0" shrinkToFit="0" vertical="center" wrapText="1"/>
    </xf>
    <xf borderId="11" fillId="3" fontId="3" numFmtId="0" xfId="0" applyAlignment="1" applyBorder="1" applyFont="1">
      <alignment horizontal="center" readingOrder="0" vertical="center"/>
    </xf>
    <xf borderId="12" fillId="0" fontId="4" numFmtId="0" xfId="0" applyBorder="1" applyFont="1"/>
    <xf borderId="9" fillId="3" fontId="3" numFmtId="0" xfId="0" applyAlignment="1" applyBorder="1" applyFont="1">
      <alignment horizontal="center" readingOrder="0" vertical="center"/>
    </xf>
    <xf borderId="13" fillId="0" fontId="4" numFmtId="0" xfId="0" applyBorder="1" applyFont="1"/>
    <xf borderId="14" fillId="0" fontId="4" numFmtId="0" xfId="0" applyBorder="1" applyFont="1"/>
    <xf borderId="0" fillId="0" fontId="2" numFmtId="0" xfId="0" applyAlignment="1" applyFont="1">
      <alignment horizontal="center" readingOrder="0" shrinkToFit="0" vertical="center" wrapText="1"/>
    </xf>
    <xf borderId="0" fillId="0" fontId="2" numFmtId="2" xfId="0" applyAlignment="1" applyFont="1" applyNumberFormat="1">
      <alignment horizontal="center" vertical="center"/>
    </xf>
    <xf borderId="0" fillId="0" fontId="2" numFmtId="0" xfId="0" applyAlignment="1" applyFont="1">
      <alignment horizontal="center" readingOrder="0" vertical="center"/>
    </xf>
    <xf borderId="9" fillId="4" fontId="5" numFmtId="0" xfId="0" applyAlignment="1" applyBorder="1" applyFill="1" applyFont="1">
      <alignment horizontal="center" readingOrder="0" vertical="center"/>
    </xf>
    <xf borderId="0" fillId="0" fontId="6" numFmtId="0" xfId="0" applyAlignment="1" applyFont="1">
      <alignment horizontal="center" shrinkToFit="0" vertical="center" wrapText="1"/>
    </xf>
    <xf borderId="9" fillId="4" fontId="7" numFmtId="0" xfId="0" applyAlignment="1" applyBorder="1" applyFont="1">
      <alignment horizontal="center" readingOrder="0" vertical="center"/>
    </xf>
    <xf borderId="0" fillId="0" fontId="8" numFmtId="0" xfId="0" applyAlignment="1" applyFont="1">
      <alignment horizontal="center" vertical="center"/>
    </xf>
    <xf borderId="9" fillId="5" fontId="2" numFmtId="0" xfId="0" applyAlignment="1" applyBorder="1" applyFill="1" applyFont="1">
      <alignment horizontal="center" readingOrder="0" vertical="center"/>
    </xf>
    <xf borderId="0" fillId="0" fontId="9" numFmtId="0" xfId="0" applyAlignment="1" applyFont="1">
      <alignment horizontal="center" shrinkToFit="0" wrapText="1"/>
    </xf>
    <xf borderId="0" fillId="0" fontId="3" numFmtId="0" xfId="0" applyAlignment="1" applyFont="1">
      <alignment horizontal="center" shrinkToFit="0" vertical="center" wrapText="1"/>
    </xf>
    <xf borderId="9" fillId="6" fontId="10" numFmtId="0" xfId="0" applyAlignment="1" applyBorder="1" applyFill="1" applyFont="1">
      <alignment horizontal="center" readingOrder="0" vertical="center"/>
    </xf>
    <xf borderId="9" fillId="4" fontId="11" numFmtId="0" xfId="0" applyAlignment="1" applyBorder="1" applyFont="1">
      <alignment horizontal="center" readingOrder="0" vertical="center"/>
    </xf>
    <xf borderId="0" fillId="0" fontId="2" numFmtId="0" xfId="0" applyAlignment="1" applyFont="1">
      <alignment horizontal="center" readingOrder="0" shrinkToFit="0" wrapText="1"/>
    </xf>
    <xf borderId="0" fillId="0" fontId="3"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vertical="center"/>
    </xf>
    <xf borderId="0" fillId="0" fontId="2" numFmtId="0" xfId="0" applyAlignment="1" applyFont="1">
      <alignment shrinkToFit="0" vertical="center" wrapText="1"/>
    </xf>
    <xf borderId="9" fillId="7" fontId="12" numFmtId="0" xfId="0" applyAlignment="1" applyBorder="1" applyFill="1" applyFont="1">
      <alignment horizontal="center" readingOrder="0" vertical="center"/>
    </xf>
    <xf borderId="0" fillId="0" fontId="2" numFmtId="164" xfId="0" applyAlignment="1" applyFont="1" applyNumberFormat="1">
      <alignment vertical="center"/>
    </xf>
    <xf borderId="0" fillId="0" fontId="13" numFmtId="0" xfId="0" applyFont="1"/>
    <xf borderId="1" fillId="2" fontId="14" numFmtId="0" xfId="0" applyAlignment="1" applyBorder="1" applyFont="1">
      <alignment horizontal="center" readingOrder="0" vertical="center"/>
    </xf>
    <xf borderId="0" fillId="0" fontId="13" numFmtId="0" xfId="0" applyAlignment="1" applyFont="1">
      <alignment horizontal="center"/>
    </xf>
    <xf borderId="0" fillId="0" fontId="15" numFmtId="0" xfId="0" applyAlignment="1" applyFont="1">
      <alignment horizontal="center"/>
    </xf>
    <xf borderId="4" fillId="2" fontId="14" numFmtId="0" xfId="0" applyAlignment="1" applyBorder="1" applyFont="1">
      <alignment readingOrder="0" vertical="center"/>
    </xf>
    <xf borderId="5" fillId="0" fontId="13" numFmtId="0" xfId="0" applyAlignment="1" applyBorder="1" applyFont="1">
      <alignment horizontal="center" readingOrder="0" shrinkToFit="0" vertical="center" wrapText="1"/>
    </xf>
    <xf borderId="4" fillId="2" fontId="14" numFmtId="0" xfId="0" applyAlignment="1" applyBorder="1" applyFont="1">
      <alignment horizontal="center" readingOrder="0" vertical="center"/>
    </xf>
    <xf borderId="5" fillId="0" fontId="13" numFmtId="0" xfId="0" applyAlignment="1" applyBorder="1" applyFont="1">
      <alignment horizontal="center" readingOrder="0" vertical="center"/>
    </xf>
    <xf borderId="5" fillId="0" fontId="13" numFmtId="0" xfId="0" applyAlignment="1" applyBorder="1" applyFont="1">
      <alignment horizontal="center" readingOrder="2" shrinkToFit="0" vertical="center" wrapText="1"/>
    </xf>
    <xf borderId="5" fillId="0" fontId="13" numFmtId="0" xfId="0" applyAlignment="1" applyBorder="1" applyFont="1">
      <alignment horizontal="right" readingOrder="2" shrinkToFit="0" vertical="center" wrapText="1"/>
    </xf>
    <xf borderId="1" fillId="2" fontId="14" numFmtId="0" xfId="0" applyAlignment="1" applyBorder="1" applyFont="1">
      <alignment horizontal="center" readingOrder="0" shrinkToFit="0" vertical="center" wrapText="1"/>
    </xf>
    <xf borderId="6" fillId="2" fontId="14" numFmtId="0" xfId="0" applyAlignment="1" applyBorder="1" applyFont="1">
      <alignment horizontal="center" readingOrder="0" vertical="center"/>
    </xf>
    <xf borderId="0" fillId="0" fontId="13" numFmtId="0" xfId="0" applyAlignment="1" applyFont="1">
      <alignment horizontal="right" readingOrder="2" shrinkToFit="0" vertical="center" wrapText="1"/>
    </xf>
    <xf borderId="9" fillId="2" fontId="14" numFmtId="0" xfId="0" applyAlignment="1" applyBorder="1" applyFont="1">
      <alignment horizontal="center" readingOrder="0" shrinkToFit="0" vertical="center" wrapText="1"/>
    </xf>
    <xf borderId="9" fillId="2" fontId="14" numFmtId="0" xfId="0" applyAlignment="1" applyBorder="1" applyFont="1">
      <alignment horizontal="center" readingOrder="0" vertical="center"/>
    </xf>
    <xf borderId="0" fillId="0" fontId="13" numFmtId="0" xfId="0" applyAlignment="1" applyFont="1">
      <alignment horizontal="center" readingOrder="2" vertical="center"/>
    </xf>
    <xf borderId="0" fillId="0" fontId="13" numFmtId="0" xfId="0" applyAlignment="1" applyFont="1">
      <alignment horizontal="center" vertical="center"/>
    </xf>
    <xf borderId="0" fillId="0" fontId="13" numFmtId="0" xfId="0" applyAlignment="1" applyFont="1">
      <alignment horizontal="center" readingOrder="2" shrinkToFit="0" vertical="center" wrapText="1"/>
    </xf>
    <xf borderId="10" fillId="2" fontId="13" numFmtId="0" xfId="0" applyAlignment="1" applyBorder="1" applyFont="1">
      <alignment horizontal="center"/>
    </xf>
    <xf borderId="9" fillId="3" fontId="14" numFmtId="0" xfId="0" applyAlignment="1" applyBorder="1" applyFont="1">
      <alignment horizontal="center" readingOrder="0" shrinkToFit="0" vertical="center" wrapText="1"/>
    </xf>
    <xf borderId="11" fillId="3" fontId="14" numFmtId="0" xfId="0" applyAlignment="1" applyBorder="1" applyFont="1">
      <alignment horizontal="center" readingOrder="0" vertical="center"/>
    </xf>
    <xf borderId="9" fillId="3" fontId="14" numFmtId="0" xfId="0" applyAlignment="1" applyBorder="1" applyFont="1">
      <alignment horizontal="center" readingOrder="0" vertical="center"/>
    </xf>
    <xf borderId="0" fillId="0" fontId="13" numFmtId="0" xfId="0" applyAlignment="1" applyFont="1">
      <alignment horizontal="center" readingOrder="0" shrinkToFit="0" vertical="center" wrapText="1"/>
    </xf>
    <xf borderId="0" fillId="0" fontId="13" numFmtId="2" xfId="0" applyAlignment="1" applyFont="1" applyNumberFormat="1">
      <alignment horizontal="center" vertical="center"/>
    </xf>
    <xf borderId="0" fillId="0" fontId="13" numFmtId="0" xfId="0" applyAlignment="1" applyFont="1">
      <alignment horizontal="center" readingOrder="0" vertical="center"/>
    </xf>
    <xf borderId="0" fillId="0" fontId="13" numFmtId="0" xfId="0" applyAlignment="1" applyFont="1">
      <alignment horizontal="center" readingOrder="1" shrinkToFit="0" vertical="center" wrapText="1"/>
    </xf>
    <xf borderId="9" fillId="4" fontId="16" numFmtId="0" xfId="0" applyAlignment="1" applyBorder="1" applyFont="1">
      <alignment horizontal="center" readingOrder="0" vertical="center"/>
    </xf>
    <xf borderId="9" fillId="7" fontId="17" numFmtId="0" xfId="0" applyAlignment="1" applyBorder="1" applyFont="1">
      <alignment horizontal="center" readingOrder="0" vertical="center"/>
    </xf>
    <xf borderId="9" fillId="6" fontId="18" numFmtId="0" xfId="0" applyAlignment="1" applyBorder="1" applyFont="1">
      <alignment horizontal="center" readingOrder="0" vertical="center"/>
    </xf>
    <xf borderId="0" fillId="0" fontId="14" numFmtId="0" xfId="0" applyAlignment="1" applyFont="1">
      <alignment shrinkToFit="0" vertical="center" wrapText="1"/>
    </xf>
    <xf borderId="0" fillId="0" fontId="13" numFmtId="0" xfId="0" applyAlignment="1" applyFont="1">
      <alignment shrinkToFit="0" vertical="center" wrapText="1"/>
    </xf>
    <xf borderId="0" fillId="0" fontId="13" numFmtId="2" xfId="0" applyAlignment="1" applyFont="1" applyNumberFormat="1">
      <alignment vertical="center"/>
    </xf>
    <xf borderId="0" fillId="0" fontId="13" numFmtId="0" xfId="0" applyAlignment="1" applyFont="1">
      <alignment vertical="center"/>
    </xf>
    <xf borderId="0" fillId="0" fontId="19" numFmtId="0" xfId="0" applyFont="1"/>
    <xf borderId="0" fillId="0" fontId="13" numFmtId="0" xfId="0" applyAlignment="1" applyFont="1">
      <alignment horizontal="center" readingOrder="0" shrinkToFit="0" wrapText="1"/>
    </xf>
    <xf borderId="0" fillId="0" fontId="13" numFmtId="0" xfId="0" applyAlignment="1" applyFont="1">
      <alignment horizontal="center" readingOrder="0"/>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57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'المؤشر الثاني'!$A$1</c:f>
            </c:strRef>
          </c:cat>
          <c:val>
            <c:numRef>
              <c:f>'المؤشر الثاني'!$A$1</c:f>
              <c:numCache/>
            </c:numRef>
          </c:val>
        </c:ser>
        <c:axId val="1144847134"/>
        <c:axId val="463976824"/>
      </c:barChart>
      <c:catAx>
        <c:axId val="11448471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63976824"/>
      </c:catAx>
      <c:valAx>
        <c:axId val="463976824"/>
        <c:scaling>
          <c:orientation val="minMax"/>
        </c:scaling>
        <c:delete val="0"/>
        <c:axPos val="l"/>
        <c:tickLblPos val="nextTo"/>
        <c:spPr>
          <a:ln>
            <a:noFill/>
          </a:ln>
        </c:spPr>
        <c:crossAx val="114484713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1809750</xdr:colOff>
      <xdr:row>0</xdr:row>
      <xdr:rowOff>219075</xdr:rowOff>
    </xdr:from>
    <xdr:ext cx="5715000" cy="3533775"/>
    <xdr:graphicFrame>
      <xdr:nvGraphicFramePr>
        <xdr:cNvPr id="991891657" name="Chart 1" title="رسم بياني"/>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tzDAIW45EhA9mhX_Lq0xGRXM8w1FyHJI/view?usp=sharing" TargetMode="External"/><Relationship Id="rId10" Type="http://schemas.openxmlformats.org/officeDocument/2006/relationships/hyperlink" Target="https://drive.google.com/file/d/1jZ2REhCW1Th5EKOsMA1S7TqhrHC52vRd/view?usp=sharing" TargetMode="External"/><Relationship Id="rId13" Type="http://schemas.openxmlformats.org/officeDocument/2006/relationships/hyperlink" Target="https://drive.google.com/file/d/1tzDAIW45EhA9mhX_Lq0xGRXM8w1FyHJI/view?usp=sharing" TargetMode="External"/><Relationship Id="rId12" Type="http://schemas.openxmlformats.org/officeDocument/2006/relationships/hyperlink" Target="https://drive.google.com/file/d/16V0jAjhc2VqBzW9-cCLCxzvqLI1i8oWX/view?usp=sharing" TargetMode="External"/><Relationship Id="rId1" Type="http://schemas.openxmlformats.org/officeDocument/2006/relationships/hyperlink" Target="https://drive.google.com/file/d/1Hh1tvVK98BqtXaF8A4Bfed_p-KA_7ul2/view?usp=sharing" TargetMode="External"/><Relationship Id="rId2" Type="http://schemas.openxmlformats.org/officeDocument/2006/relationships/hyperlink" Target="https://drive.google.com/file/d/1Gm9iqJK5hc-uaVupCgCiV5_ci1rdm3fY/view?usp=sharing" TargetMode="External"/><Relationship Id="rId3" Type="http://schemas.openxmlformats.org/officeDocument/2006/relationships/hyperlink" Target="https://drive.google.com/file/d/1fZP3aERtIDH_hGfrUFV-25F8gxgiaG9V/view?usp=sharing" TargetMode="External"/><Relationship Id="rId4" Type="http://schemas.openxmlformats.org/officeDocument/2006/relationships/hyperlink" Target="https://drive.google.com/file/d/1kqIfKTBaZGT1cwt2ohpJ0fdFZTDUEAqC/view?usp=sharing" TargetMode="External"/><Relationship Id="rId9" Type="http://schemas.openxmlformats.org/officeDocument/2006/relationships/hyperlink" Target="https://drive.google.com/file/d/1piihTiR7q2wTzW5mpZpPyLeFpk1flBcN/view?usp=sharing" TargetMode="External"/><Relationship Id="rId15" Type="http://schemas.openxmlformats.org/officeDocument/2006/relationships/drawing" Target="../drawings/drawing1.xml"/><Relationship Id="rId14" Type="http://schemas.openxmlformats.org/officeDocument/2006/relationships/hyperlink" Target="https://drive.google.com/file/d/1tzDAIW45EhA9mhX_Lq0xGRXM8w1FyHJI/view?usp=sharing" TargetMode="External"/><Relationship Id="rId5" Type="http://schemas.openxmlformats.org/officeDocument/2006/relationships/hyperlink" Target="https://drive.google.com/file/d/16hBylVo-TPth_MQ_e2-kgMqdoL_E3hM1/view?usp=sharing" TargetMode="External"/><Relationship Id="rId6" Type="http://schemas.openxmlformats.org/officeDocument/2006/relationships/hyperlink" Target="https://drive.google.com/file/d/1jZ2REhCW1Th5EKOsMA1S7TqhrHC52vRd/view?usp=sharing" TargetMode="External"/><Relationship Id="rId7" Type="http://schemas.openxmlformats.org/officeDocument/2006/relationships/hyperlink" Target="https://drive.google.com/file/d/1El6OuanWF2dv3V4zdIMHrNbrTnGu_iTX/view?usp=sharing" TargetMode="External"/><Relationship Id="rId8" Type="http://schemas.openxmlformats.org/officeDocument/2006/relationships/hyperlink" Target="https://drive.google.com/file/d/13q2DsBHsIsBfDZLrwN2Y867ADQU4M6ln/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zg9VMJpxE-h0b7stug-jcStSZpzOSota/view?usp=sharing" TargetMode="External"/><Relationship Id="rId2" Type="http://schemas.openxmlformats.org/officeDocument/2006/relationships/hyperlink" Target="https://drive.google.com/file/d/1VLMLfsK7NwlmvH6rLZixDm_VNqCYmVt3/view?usp=sharing" TargetMode="External"/><Relationship Id="rId3" Type="http://schemas.openxmlformats.org/officeDocument/2006/relationships/hyperlink" Target="https://drive.google.com/file/d/1ACnQLPBFB62_xuJFv6XMvujYTT0AVY0T/view?usp=sharing" TargetMode="External"/><Relationship Id="rId4" Type="http://schemas.openxmlformats.org/officeDocument/2006/relationships/hyperlink" Target="https://drive.google.com/file/d/1m729N_i98-GssM12WBHho4qU1tBaIGVP/view?usp=sharing" TargetMode="External"/><Relationship Id="rId5" Type="http://schemas.openxmlformats.org/officeDocument/2006/relationships/hyperlink" Target="https://drive.google.com/file/d/1m729N_i98-GssM12WBHho4qU1tBaIGVP/view?usp=sharing" TargetMode="External"/><Relationship Id="rId6" Type="http://schemas.openxmlformats.org/officeDocument/2006/relationships/hyperlink" Target="https://drive.google.com/file/d/1K2gImJNrXWck5wjrWKf97HE5LT1EarSh/view?usp=sharing" TargetMode="External"/><Relationship Id="rId7"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1.22" defaultRowHeight="15.0"/>
  <cols>
    <col customWidth="1" min="1" max="1" width="33.78"/>
    <col customWidth="1" min="2" max="2" width="13.33"/>
    <col customWidth="1" min="3" max="3" width="45.33"/>
    <col customWidth="1" min="4" max="10" width="33.78"/>
    <col customWidth="1" min="11" max="12" width="42.78"/>
    <col customWidth="1" min="13" max="13" width="37.67"/>
    <col customWidth="1" min="14" max="14" width="8.44"/>
    <col customWidth="1" min="15" max="15" width="49.33"/>
    <col customWidth="1" min="16" max="21" width="33.78"/>
    <col customWidth="1" min="22" max="22" width="60.78"/>
    <col customWidth="1" min="23" max="23" width="41.44"/>
    <col customWidth="1" min="24" max="26" width="33.78"/>
    <col customWidth="1" min="27" max="27" width="55.11"/>
    <col customWidth="1" min="28" max="32" width="33.78"/>
    <col customWidth="1" min="33" max="33" width="35.11"/>
    <col customWidth="1" min="34" max="34" width="38.44"/>
    <col customWidth="1" min="35" max="36" width="41.44"/>
    <col customWidth="1" min="37" max="37" width="33.78"/>
  </cols>
  <sheetData>
    <row r="1" ht="33.0" customHeight="1">
      <c r="A1" s="1"/>
      <c r="B1" s="1"/>
      <c r="C1" s="2"/>
      <c r="D1" s="2"/>
      <c r="E1" s="2"/>
      <c r="F1" s="2"/>
      <c r="G1" s="2"/>
      <c r="H1" s="2"/>
      <c r="I1" s="2"/>
      <c r="J1" s="2"/>
      <c r="K1" s="2"/>
      <c r="L1" s="2"/>
      <c r="M1" s="2"/>
      <c r="N1" s="1"/>
      <c r="O1" s="2"/>
      <c r="P1" s="2"/>
      <c r="Q1" s="2"/>
      <c r="R1" s="2"/>
      <c r="S1" s="2"/>
      <c r="T1" s="2"/>
      <c r="U1" s="2"/>
      <c r="V1" s="2"/>
      <c r="W1" s="2"/>
      <c r="X1" s="2"/>
      <c r="Y1" s="2"/>
      <c r="Z1" s="1"/>
      <c r="AA1" s="1"/>
      <c r="AB1" s="1"/>
      <c r="AC1" s="1"/>
      <c r="AD1" s="1"/>
      <c r="AE1" s="1"/>
      <c r="AF1" s="1"/>
      <c r="AG1" s="1"/>
      <c r="AH1" s="1"/>
      <c r="AI1" s="1"/>
      <c r="AJ1" s="1"/>
      <c r="AK1" s="1"/>
    </row>
    <row r="2" ht="33.0" customHeight="1">
      <c r="A2" s="1"/>
      <c r="B2" s="1"/>
      <c r="C2" s="2"/>
      <c r="D2" s="2"/>
      <c r="E2" s="2"/>
      <c r="F2" s="2"/>
      <c r="G2" s="2"/>
      <c r="H2" s="2"/>
      <c r="I2" s="2"/>
      <c r="J2" s="2"/>
      <c r="K2" s="2"/>
      <c r="L2" s="2"/>
      <c r="M2" s="2"/>
      <c r="N2" s="1"/>
      <c r="O2" s="2"/>
      <c r="P2" s="2"/>
      <c r="Q2" s="2"/>
      <c r="R2" s="2"/>
      <c r="S2" s="2"/>
      <c r="T2" s="2"/>
      <c r="U2" s="2"/>
      <c r="V2" s="2"/>
      <c r="W2" s="2"/>
      <c r="X2" s="2"/>
      <c r="Y2" s="2"/>
      <c r="Z2" s="1"/>
      <c r="AA2" s="1"/>
      <c r="AB2" s="1"/>
      <c r="AC2" s="1"/>
      <c r="AD2" s="1"/>
      <c r="AE2" s="1"/>
      <c r="AF2" s="1"/>
      <c r="AG2" s="1"/>
      <c r="AH2" s="1"/>
      <c r="AI2" s="1"/>
      <c r="AJ2" s="1"/>
      <c r="AK2" s="1"/>
    </row>
    <row r="3" ht="33.0" customHeight="1">
      <c r="A3" s="1"/>
      <c r="B3" s="1"/>
      <c r="C3" s="2"/>
      <c r="D3" s="2"/>
      <c r="E3" s="2"/>
      <c r="F3" s="2"/>
      <c r="G3" s="2"/>
      <c r="H3" s="2"/>
      <c r="I3" s="2"/>
      <c r="J3" s="2"/>
      <c r="K3" s="2"/>
      <c r="L3" s="2"/>
      <c r="M3" s="2"/>
      <c r="N3" s="1"/>
      <c r="O3" s="2"/>
      <c r="P3" s="2"/>
      <c r="Q3" s="2"/>
      <c r="R3" s="2"/>
      <c r="S3" s="2"/>
      <c r="T3" s="2"/>
      <c r="U3" s="2"/>
      <c r="V3" s="2"/>
      <c r="W3" s="2"/>
      <c r="X3" s="2"/>
      <c r="Y3" s="2"/>
      <c r="Z3" s="1"/>
      <c r="AA3" s="1"/>
      <c r="AB3" s="1"/>
      <c r="AC3" s="1"/>
      <c r="AD3" s="1"/>
      <c r="AE3" s="1"/>
      <c r="AF3" s="1"/>
      <c r="AG3" s="1"/>
      <c r="AH3" s="1"/>
      <c r="AI3" s="1"/>
      <c r="AJ3" s="1"/>
      <c r="AK3" s="1"/>
    </row>
    <row r="4" ht="33.0" customHeight="1">
      <c r="A4" s="1"/>
      <c r="B4" s="1"/>
      <c r="C4" s="3" t="s">
        <v>0</v>
      </c>
      <c r="D4" s="4"/>
      <c r="E4" s="4"/>
      <c r="F4" s="4"/>
      <c r="G4" s="4"/>
      <c r="H4" s="4"/>
      <c r="I4" s="4"/>
      <c r="J4" s="4"/>
      <c r="K4" s="4"/>
      <c r="L4" s="4"/>
      <c r="M4" s="5"/>
      <c r="N4" s="6"/>
      <c r="O4" s="3" t="s">
        <v>1</v>
      </c>
      <c r="P4" s="4"/>
      <c r="Q4" s="4"/>
      <c r="R4" s="4"/>
      <c r="S4" s="4"/>
      <c r="T4" s="4"/>
      <c r="U4" s="4"/>
      <c r="V4" s="4"/>
      <c r="W4" s="4"/>
      <c r="X4" s="4"/>
      <c r="Y4" s="5"/>
      <c r="Z4" s="6"/>
      <c r="AA4" s="3" t="s">
        <v>2</v>
      </c>
      <c r="AB4" s="4"/>
      <c r="AC4" s="4"/>
      <c r="AD4" s="4"/>
      <c r="AE4" s="4"/>
      <c r="AF4" s="4"/>
      <c r="AG4" s="4"/>
      <c r="AH4" s="4"/>
      <c r="AI4" s="4"/>
      <c r="AJ4" s="4"/>
      <c r="AK4" s="5"/>
    </row>
    <row r="5" ht="33.0" customHeight="1">
      <c r="A5" s="1"/>
      <c r="B5" s="1"/>
      <c r="C5" s="7" t="s">
        <v>3</v>
      </c>
      <c r="D5" s="8" t="s">
        <v>4</v>
      </c>
      <c r="O5" s="7" t="s">
        <v>3</v>
      </c>
      <c r="P5" s="8" t="s">
        <v>4</v>
      </c>
      <c r="AA5" s="7" t="s">
        <v>3</v>
      </c>
      <c r="AB5" s="8" t="s">
        <v>4</v>
      </c>
    </row>
    <row r="6" ht="33.0" customHeight="1">
      <c r="A6" s="1"/>
      <c r="B6" s="1"/>
      <c r="C6" s="9" t="s">
        <v>5</v>
      </c>
      <c r="D6" s="10" t="s">
        <v>6</v>
      </c>
      <c r="O6" s="9" t="s">
        <v>5</v>
      </c>
      <c r="P6" s="10" t="s">
        <v>6</v>
      </c>
      <c r="AA6" s="9" t="s">
        <v>5</v>
      </c>
      <c r="AB6" s="10" t="s">
        <v>6</v>
      </c>
    </row>
    <row r="7" ht="33.0" customHeight="1">
      <c r="A7" s="1"/>
      <c r="B7" s="1"/>
      <c r="C7" s="9" t="s">
        <v>7</v>
      </c>
      <c r="D7" s="11" t="s">
        <v>8</v>
      </c>
      <c r="O7" s="9" t="s">
        <v>7</v>
      </c>
      <c r="P7" s="11" t="s">
        <v>9</v>
      </c>
      <c r="AA7" s="9" t="s">
        <v>7</v>
      </c>
      <c r="AB7" s="11" t="s">
        <v>9</v>
      </c>
    </row>
    <row r="8" ht="33.0" customHeight="1">
      <c r="A8" s="1"/>
      <c r="B8" s="1"/>
      <c r="C8" s="12" t="s">
        <v>10</v>
      </c>
      <c r="D8" s="4"/>
      <c r="E8" s="4"/>
      <c r="F8" s="4"/>
      <c r="G8" s="4"/>
      <c r="H8" s="4"/>
      <c r="I8" s="4"/>
      <c r="J8" s="4"/>
      <c r="K8" s="4"/>
      <c r="L8" s="4"/>
      <c r="M8" s="5"/>
      <c r="O8" s="12" t="s">
        <v>11</v>
      </c>
      <c r="P8" s="4"/>
      <c r="Q8" s="4"/>
      <c r="R8" s="4"/>
      <c r="S8" s="4"/>
      <c r="T8" s="4"/>
      <c r="U8" s="4"/>
      <c r="V8" s="4"/>
      <c r="W8" s="4"/>
      <c r="X8" s="4"/>
      <c r="Y8" s="5"/>
      <c r="AA8" s="12" t="s">
        <v>12</v>
      </c>
      <c r="AB8" s="4"/>
      <c r="AC8" s="4"/>
      <c r="AD8" s="4"/>
      <c r="AE8" s="4"/>
      <c r="AF8" s="4"/>
      <c r="AG8" s="4"/>
      <c r="AH8" s="4"/>
      <c r="AI8" s="4"/>
      <c r="AJ8" s="4"/>
      <c r="AK8" s="5"/>
    </row>
    <row r="9" ht="33.0" customHeight="1">
      <c r="A9" s="1"/>
      <c r="B9" s="1"/>
      <c r="C9" s="13" t="s">
        <v>13</v>
      </c>
      <c r="O9" s="13" t="s">
        <v>14</v>
      </c>
      <c r="AA9" s="13" t="s">
        <v>15</v>
      </c>
    </row>
    <row r="10" ht="33.0" customHeight="1">
      <c r="A10" s="1"/>
      <c r="B10" s="1"/>
      <c r="C10" s="14"/>
      <c r="O10" s="14"/>
      <c r="AA10" s="14"/>
    </row>
    <row r="11" ht="33.0" customHeight="1">
      <c r="A11" s="1"/>
      <c r="B11" s="1"/>
      <c r="C11" s="14"/>
      <c r="O11" s="14"/>
      <c r="AA11" s="14"/>
    </row>
    <row r="12" ht="33.0" customHeight="1">
      <c r="A12" s="1"/>
      <c r="B12" s="1"/>
      <c r="C12" s="14"/>
      <c r="O12" s="14"/>
      <c r="AA12" s="14"/>
    </row>
    <row r="13" ht="33.0" customHeight="1">
      <c r="A13" s="1"/>
      <c r="B13" s="1"/>
      <c r="C13" s="14"/>
      <c r="O13" s="14"/>
      <c r="AA13" s="14"/>
    </row>
    <row r="14" ht="33.0" customHeight="1">
      <c r="A14" s="1"/>
      <c r="B14" s="1"/>
      <c r="C14" s="14"/>
      <c r="O14" s="14"/>
      <c r="AA14" s="14"/>
    </row>
    <row r="15" ht="33.0" customHeight="1">
      <c r="A15" s="1"/>
      <c r="B15" s="1"/>
      <c r="C15" s="14"/>
      <c r="O15" s="14"/>
      <c r="AA15" s="14"/>
    </row>
    <row r="16" ht="33.0" customHeight="1">
      <c r="A16" s="1"/>
      <c r="B16" s="1"/>
      <c r="C16" s="14"/>
      <c r="O16" s="14"/>
      <c r="AA16" s="14"/>
    </row>
    <row r="17" ht="171.0" customHeight="1">
      <c r="A17" s="1"/>
      <c r="B17" s="1"/>
      <c r="C17" s="14"/>
      <c r="O17" s="14"/>
      <c r="AA17" s="14"/>
    </row>
    <row r="18" ht="33.0" customHeight="1">
      <c r="A18" s="1"/>
      <c r="B18" s="1"/>
      <c r="C18" s="3" t="s">
        <v>16</v>
      </c>
      <c r="D18" s="4"/>
      <c r="E18" s="4"/>
      <c r="F18" s="4"/>
      <c r="G18" s="4"/>
      <c r="H18" s="4"/>
      <c r="I18" s="4"/>
      <c r="J18" s="4"/>
      <c r="K18" s="4"/>
      <c r="L18" s="4"/>
      <c r="M18" s="5"/>
      <c r="O18" s="3" t="s">
        <v>16</v>
      </c>
      <c r="P18" s="4"/>
      <c r="Q18" s="4"/>
      <c r="R18" s="4"/>
      <c r="S18" s="4"/>
      <c r="T18" s="4"/>
      <c r="U18" s="4"/>
      <c r="V18" s="4"/>
      <c r="W18" s="4"/>
      <c r="X18" s="4"/>
      <c r="Y18" s="5"/>
      <c r="AA18" s="3" t="s">
        <v>16</v>
      </c>
      <c r="AB18" s="4"/>
      <c r="AC18" s="4"/>
      <c r="AD18" s="4"/>
      <c r="AE18" s="4"/>
      <c r="AF18" s="4"/>
      <c r="AG18" s="4"/>
      <c r="AH18" s="4"/>
      <c r="AI18" s="4"/>
      <c r="AJ18" s="4"/>
      <c r="AK18" s="5"/>
    </row>
    <row r="19" ht="33.0" customHeight="1">
      <c r="A19" s="1"/>
      <c r="B19" s="1"/>
      <c r="C19" s="15" t="s">
        <v>17</v>
      </c>
      <c r="D19" s="16" t="s">
        <v>18</v>
      </c>
      <c r="O19" s="15" t="s">
        <v>17</v>
      </c>
      <c r="P19" s="16" t="s">
        <v>19</v>
      </c>
      <c r="AA19" s="15" t="s">
        <v>17</v>
      </c>
      <c r="AB19" s="16" t="s">
        <v>20</v>
      </c>
    </row>
    <row r="20" ht="33.0" customHeight="1">
      <c r="A20" s="1"/>
      <c r="B20" s="1"/>
      <c r="C20" s="17"/>
      <c r="O20" s="17"/>
      <c r="AA20" s="17"/>
    </row>
    <row r="21" ht="33.0" customHeight="1">
      <c r="A21" s="1"/>
      <c r="B21" s="1"/>
      <c r="C21" s="17"/>
      <c r="O21" s="17"/>
      <c r="AA21" s="17"/>
    </row>
    <row r="22" ht="33.0" customHeight="1">
      <c r="A22" s="1"/>
      <c r="B22" s="1"/>
      <c r="C22" s="17"/>
      <c r="O22" s="17"/>
      <c r="AA22" s="17"/>
    </row>
    <row r="23" ht="33.0" customHeight="1">
      <c r="A23" s="1"/>
      <c r="B23" s="1"/>
      <c r="C23" s="17"/>
      <c r="O23" s="17"/>
      <c r="AA23" s="17"/>
    </row>
    <row r="24" ht="33.0" customHeight="1">
      <c r="A24" s="1"/>
      <c r="B24" s="1"/>
      <c r="C24" s="18"/>
      <c r="O24" s="18"/>
      <c r="AA24" s="18"/>
    </row>
    <row r="25" ht="33.0" customHeight="1">
      <c r="A25" s="1"/>
      <c r="B25" s="1"/>
      <c r="C25" s="19" t="s">
        <v>21</v>
      </c>
      <c r="D25" s="16" t="s">
        <v>22</v>
      </c>
      <c r="O25" s="19" t="s">
        <v>21</v>
      </c>
      <c r="P25" s="20" t="s">
        <v>23</v>
      </c>
      <c r="AA25" s="19" t="s">
        <v>21</v>
      </c>
      <c r="AB25" s="16" t="s">
        <v>24</v>
      </c>
    </row>
    <row r="26" ht="33.0" customHeight="1">
      <c r="A26" s="1"/>
      <c r="B26" s="1"/>
      <c r="C26" s="17"/>
      <c r="O26" s="17"/>
      <c r="AA26" s="17"/>
    </row>
    <row r="27" ht="33.0" customHeight="1">
      <c r="A27" s="1"/>
      <c r="B27" s="1"/>
      <c r="C27" s="17"/>
      <c r="O27" s="17"/>
      <c r="AA27" s="17"/>
    </row>
    <row r="28" ht="33.0" customHeight="1">
      <c r="A28" s="1"/>
      <c r="B28" s="1"/>
      <c r="C28" s="18"/>
      <c r="O28" s="18"/>
      <c r="AA28" s="18"/>
    </row>
    <row r="29" ht="33.0" customHeight="1">
      <c r="A29" s="1"/>
      <c r="B29" s="1"/>
      <c r="C29" s="21" t="s">
        <v>25</v>
      </c>
      <c r="D29" s="22" t="s">
        <v>26</v>
      </c>
      <c r="H29" s="19" t="s">
        <v>27</v>
      </c>
      <c r="I29" s="23">
        <v>13.0</v>
      </c>
      <c r="O29" s="21" t="s">
        <v>25</v>
      </c>
      <c r="P29" s="16" t="s">
        <v>28</v>
      </c>
      <c r="T29" s="19" t="s">
        <v>27</v>
      </c>
      <c r="U29" s="23">
        <v>14.0</v>
      </c>
      <c r="AA29" s="21" t="s">
        <v>25</v>
      </c>
      <c r="AB29" s="16" t="s">
        <v>28</v>
      </c>
      <c r="AF29" s="19" t="s">
        <v>27</v>
      </c>
      <c r="AG29" s="23">
        <v>15.0</v>
      </c>
    </row>
    <row r="30" ht="33.0" customHeight="1">
      <c r="A30" s="1"/>
      <c r="B30" s="1"/>
      <c r="C30" s="18"/>
      <c r="H30" s="18"/>
      <c r="I30" s="23">
        <v>17.0</v>
      </c>
      <c r="O30" s="18"/>
      <c r="T30" s="18"/>
      <c r="U30" s="23">
        <v>23.0</v>
      </c>
      <c r="AA30" s="18"/>
      <c r="AF30" s="18"/>
      <c r="AG30" s="23" t="s">
        <v>29</v>
      </c>
    </row>
    <row r="31" ht="33.0" customHeight="1">
      <c r="A31" s="1"/>
      <c r="B31" s="1"/>
      <c r="C31" s="19" t="s">
        <v>30</v>
      </c>
      <c r="D31" s="16" t="s">
        <v>31</v>
      </c>
      <c r="O31" s="19" t="s">
        <v>30</v>
      </c>
      <c r="P31" s="16" t="s">
        <v>32</v>
      </c>
      <c r="AA31" s="19" t="s">
        <v>30</v>
      </c>
      <c r="AB31" s="16" t="s">
        <v>33</v>
      </c>
    </row>
    <row r="32" ht="105.0" customHeight="1">
      <c r="A32" s="1"/>
      <c r="B32" s="1"/>
      <c r="C32" s="18"/>
      <c r="O32" s="18"/>
      <c r="AA32" s="18"/>
    </row>
    <row r="33" ht="33.0" customHeight="1">
      <c r="A33" s="1"/>
      <c r="B33" s="1"/>
      <c r="C33" s="24"/>
      <c r="D33" s="4"/>
      <c r="E33" s="4"/>
      <c r="F33" s="4"/>
      <c r="G33" s="4"/>
      <c r="H33" s="4"/>
      <c r="I33" s="4"/>
      <c r="J33" s="4"/>
      <c r="K33" s="4"/>
      <c r="L33" s="4"/>
      <c r="M33" s="5"/>
      <c r="O33" s="24"/>
      <c r="P33" s="4"/>
      <c r="Q33" s="4"/>
      <c r="R33" s="4"/>
      <c r="S33" s="4"/>
      <c r="T33" s="4"/>
      <c r="U33" s="4"/>
      <c r="V33" s="4"/>
      <c r="W33" s="4"/>
      <c r="X33" s="4"/>
      <c r="Y33" s="5"/>
      <c r="AA33" s="24"/>
      <c r="AB33" s="4"/>
      <c r="AC33" s="4"/>
      <c r="AD33" s="4"/>
      <c r="AE33" s="4"/>
      <c r="AF33" s="4"/>
      <c r="AG33" s="4"/>
      <c r="AH33" s="4"/>
      <c r="AI33" s="4"/>
      <c r="AJ33" s="4"/>
      <c r="AK33" s="5"/>
    </row>
    <row r="34" ht="33.0" customHeight="1">
      <c r="A34" s="1"/>
      <c r="B34" s="1"/>
      <c r="C34" s="25"/>
      <c r="O34" s="25"/>
      <c r="AA34" s="25"/>
    </row>
    <row r="35" ht="33.0" customHeight="1">
      <c r="A35" s="1"/>
      <c r="B35" s="1"/>
      <c r="C35" s="26" t="s">
        <v>34</v>
      </c>
      <c r="D35" s="27" t="s">
        <v>35</v>
      </c>
      <c r="E35" s="28"/>
      <c r="F35" s="29" t="s">
        <v>36</v>
      </c>
      <c r="G35" s="29" t="s">
        <v>37</v>
      </c>
      <c r="H35" s="29" t="s">
        <v>38</v>
      </c>
      <c r="I35" s="29" t="s">
        <v>39</v>
      </c>
      <c r="J35" s="29" t="s">
        <v>40</v>
      </c>
      <c r="K35" s="29" t="s">
        <v>36</v>
      </c>
      <c r="L35" s="29" t="s">
        <v>17</v>
      </c>
      <c r="M35" s="29" t="s">
        <v>41</v>
      </c>
      <c r="O35" s="26" t="s">
        <v>34</v>
      </c>
      <c r="P35" s="27" t="s">
        <v>35</v>
      </c>
      <c r="Q35" s="28"/>
      <c r="R35" s="29" t="s">
        <v>36</v>
      </c>
      <c r="S35" s="29" t="s">
        <v>37</v>
      </c>
      <c r="T35" s="29" t="s">
        <v>38</v>
      </c>
      <c r="U35" s="29" t="s">
        <v>39</v>
      </c>
      <c r="V35" s="29" t="s">
        <v>40</v>
      </c>
      <c r="W35" s="29" t="s">
        <v>36</v>
      </c>
      <c r="X35" s="29" t="s">
        <v>17</v>
      </c>
      <c r="Y35" s="29" t="s">
        <v>41</v>
      </c>
      <c r="AA35" s="26" t="s">
        <v>34</v>
      </c>
      <c r="AB35" s="27" t="s">
        <v>35</v>
      </c>
      <c r="AC35" s="28"/>
      <c r="AD35" s="29" t="s">
        <v>36</v>
      </c>
      <c r="AE35" s="29" t="s">
        <v>37</v>
      </c>
      <c r="AF35" s="29" t="s">
        <v>38</v>
      </c>
      <c r="AG35" s="29" t="s">
        <v>39</v>
      </c>
      <c r="AH35" s="29" t="s">
        <v>40</v>
      </c>
      <c r="AI35" s="29" t="s">
        <v>36</v>
      </c>
      <c r="AJ35" s="29" t="s">
        <v>17</v>
      </c>
      <c r="AK35" s="29" t="s">
        <v>41</v>
      </c>
    </row>
    <row r="36" ht="33.0" customHeight="1">
      <c r="A36" s="1"/>
      <c r="B36" s="1"/>
      <c r="C36" s="17"/>
      <c r="D36" s="30"/>
      <c r="E36" s="31"/>
      <c r="F36" s="18"/>
      <c r="G36" s="18"/>
      <c r="H36" s="18"/>
      <c r="I36" s="18"/>
      <c r="J36" s="18"/>
      <c r="K36" s="18"/>
      <c r="L36" s="18"/>
      <c r="M36" s="18"/>
      <c r="O36" s="17"/>
      <c r="P36" s="30"/>
      <c r="Q36" s="31"/>
      <c r="R36" s="18"/>
      <c r="S36" s="18"/>
      <c r="T36" s="18"/>
      <c r="U36" s="18"/>
      <c r="V36" s="18"/>
      <c r="W36" s="18"/>
      <c r="X36" s="18"/>
      <c r="Y36" s="18"/>
      <c r="AA36" s="17"/>
      <c r="AB36" s="30"/>
      <c r="AC36" s="31"/>
      <c r="AD36" s="18"/>
      <c r="AE36" s="18"/>
      <c r="AF36" s="18"/>
      <c r="AG36" s="18"/>
      <c r="AH36" s="18"/>
      <c r="AI36" s="18"/>
      <c r="AJ36" s="18"/>
      <c r="AK36" s="18"/>
    </row>
    <row r="37" ht="33.0" customHeight="1">
      <c r="A37" s="1"/>
      <c r="B37" s="1"/>
      <c r="C37" s="17"/>
      <c r="D37" s="32" t="s">
        <v>42</v>
      </c>
      <c r="F37" s="33">
        <v>3.0</v>
      </c>
      <c r="G37" s="34" t="s">
        <v>43</v>
      </c>
      <c r="H37" s="32" t="s">
        <v>44</v>
      </c>
      <c r="I37" s="32" t="s">
        <v>45</v>
      </c>
      <c r="J37" s="35" t="s">
        <v>46</v>
      </c>
      <c r="K37" s="23">
        <f>IF(J37="نعم", 1, IF(J37="لا", 0, ""))</f>
        <v>0</v>
      </c>
      <c r="L37" s="32" t="s">
        <v>47</v>
      </c>
      <c r="M37" s="36" t="s">
        <v>48</v>
      </c>
      <c r="O37" s="17"/>
      <c r="P37" s="32" t="s">
        <v>49</v>
      </c>
      <c r="R37" s="33">
        <v>2.0</v>
      </c>
      <c r="S37" s="34" t="s">
        <v>43</v>
      </c>
      <c r="T37" s="32" t="s">
        <v>44</v>
      </c>
      <c r="U37" s="20" t="s">
        <v>50</v>
      </c>
      <c r="V37" s="37" t="s">
        <v>51</v>
      </c>
      <c r="W37" s="23" t="str">
        <f>IF(V37="نعم"," اجب عن الأسئلة التالية", IF(V37="لا", 1, ""))</f>
        <v> اجب عن الأسئلة التالية</v>
      </c>
      <c r="X37" s="32" t="s">
        <v>52</v>
      </c>
      <c r="Y37" s="36" t="s">
        <v>53</v>
      </c>
      <c r="AA37" s="17"/>
      <c r="AB37" s="32" t="s">
        <v>54</v>
      </c>
      <c r="AD37" s="33">
        <v>2.0</v>
      </c>
      <c r="AE37" s="34" t="s">
        <v>43</v>
      </c>
      <c r="AF37" s="32" t="s">
        <v>44</v>
      </c>
      <c r="AG37" s="20" t="s">
        <v>55</v>
      </c>
      <c r="AH37" s="37" t="s">
        <v>56</v>
      </c>
      <c r="AI37" s="23" t="str">
        <f>IF(AH37="يوجد"," اجب عن الأسئلة التالية", IF(AH37="لا يوجد", 1, ""))</f>
        <v> اجب عن الأسئلة التالية</v>
      </c>
      <c r="AJ37" s="32" t="s">
        <v>57</v>
      </c>
      <c r="AK37" s="38" t="s">
        <v>58</v>
      </c>
    </row>
    <row r="38" ht="33.0" customHeight="1">
      <c r="A38" s="1"/>
      <c r="B38" s="1"/>
      <c r="C38" s="17"/>
      <c r="J38" s="17"/>
      <c r="O38" s="17"/>
      <c r="V38" s="17"/>
      <c r="AA38" s="17"/>
      <c r="AH38" s="17"/>
    </row>
    <row r="39" ht="33.0" customHeight="1">
      <c r="A39" s="1"/>
      <c r="B39" s="1"/>
      <c r="C39" s="17"/>
      <c r="J39" s="17"/>
      <c r="O39" s="17"/>
      <c r="V39" s="17"/>
      <c r="AA39" s="17"/>
      <c r="AH39" s="17"/>
    </row>
    <row r="40" ht="105.0" customHeight="1">
      <c r="A40" s="1"/>
      <c r="B40" s="1"/>
      <c r="C40" s="17"/>
      <c r="J40" s="18"/>
      <c r="O40" s="17"/>
      <c r="V40" s="18"/>
      <c r="AA40" s="17"/>
      <c r="AH40" s="18"/>
    </row>
    <row r="41" ht="33.0" customHeight="1">
      <c r="A41" s="1"/>
      <c r="B41" s="1"/>
      <c r="C41" s="17"/>
      <c r="D41" s="32" t="s">
        <v>59</v>
      </c>
      <c r="J41" s="39" t="s">
        <v>56</v>
      </c>
      <c r="K41" s="23">
        <f>IF(J41="يوجد", 1, IF(J41="لا يوجد", 0, ""))</f>
        <v>1</v>
      </c>
      <c r="L41" s="32" t="s">
        <v>60</v>
      </c>
      <c r="M41" s="40" t="s">
        <v>61</v>
      </c>
      <c r="O41" s="17"/>
      <c r="P41" s="32" t="s">
        <v>62</v>
      </c>
      <c r="U41" s="32" t="s">
        <v>63</v>
      </c>
      <c r="V41" s="37" t="s">
        <v>51</v>
      </c>
      <c r="W41" s="23">
        <f>IF(UPPER(V41)="لا ", 0, IF(UPPER(V41)="نعم", 1, ""))</f>
        <v>1</v>
      </c>
      <c r="Y41" s="36" t="s">
        <v>64</v>
      </c>
      <c r="AA41" s="17"/>
      <c r="AB41" s="32" t="s">
        <v>65</v>
      </c>
      <c r="AG41" s="32" t="s">
        <v>66</v>
      </c>
      <c r="AH41" s="37" t="s">
        <v>51</v>
      </c>
      <c r="AI41" s="23">
        <f>IF(UPPER(AH41)="لا", 0, IF(UPPER(AH41)="نعم", 1, ""))</f>
        <v>1</v>
      </c>
      <c r="AJ41" s="32" t="s">
        <v>67</v>
      </c>
      <c r="AK41" s="36" t="s">
        <v>68</v>
      </c>
    </row>
    <row r="42" ht="33.0" customHeight="1">
      <c r="A42" s="1"/>
      <c r="B42" s="1"/>
      <c r="C42" s="17"/>
      <c r="J42" s="17"/>
      <c r="O42" s="17"/>
      <c r="V42" s="17"/>
      <c r="AA42" s="17"/>
      <c r="AH42" s="17"/>
    </row>
    <row r="43" ht="33.0" customHeight="1">
      <c r="A43" s="1"/>
      <c r="B43" s="1"/>
      <c r="C43" s="17"/>
      <c r="J43" s="17"/>
      <c r="O43" s="17"/>
      <c r="V43" s="17"/>
      <c r="AA43" s="17"/>
      <c r="AH43" s="17"/>
    </row>
    <row r="44" ht="33.0" customHeight="1">
      <c r="A44" s="1"/>
      <c r="B44" s="1"/>
      <c r="C44" s="17"/>
      <c r="J44" s="17"/>
      <c r="O44" s="17"/>
      <c r="V44" s="18"/>
      <c r="AA44" s="17"/>
      <c r="AH44" s="18"/>
    </row>
    <row r="45" ht="33.0" customHeight="1">
      <c r="A45" s="1"/>
      <c r="B45" s="1"/>
      <c r="C45" s="18"/>
      <c r="J45" s="18"/>
      <c r="O45" s="17"/>
      <c r="P45" s="32" t="s">
        <v>69</v>
      </c>
      <c r="U45" s="32" t="s">
        <v>70</v>
      </c>
      <c r="V45" s="37" t="s">
        <v>51</v>
      </c>
      <c r="W45" s="23">
        <f>IF(UPPER(V45)="لا ", 0, IF(UPPER(V45)="نعم", 1, ""))</f>
        <v>1</v>
      </c>
      <c r="X45" s="32" t="s">
        <v>71</v>
      </c>
      <c r="Y45" s="36" t="s">
        <v>72</v>
      </c>
      <c r="AA45" s="17"/>
      <c r="AB45" s="32" t="s">
        <v>73</v>
      </c>
      <c r="AD45" s="33">
        <v>1.0</v>
      </c>
      <c r="AG45" s="32" t="s">
        <v>74</v>
      </c>
      <c r="AH45" s="37" t="s">
        <v>51</v>
      </c>
      <c r="AI45" s="23">
        <f>IF(UPPER(AH45)="لا", 0, IF(UPPER(AH45)="نعم", 1, ""))</f>
        <v>1</v>
      </c>
      <c r="AJ45" s="32" t="s">
        <v>75</v>
      </c>
    </row>
    <row r="46" ht="33.0" customHeight="1">
      <c r="A46" s="1"/>
      <c r="B46" s="1"/>
      <c r="C46" s="41"/>
      <c r="O46" s="17"/>
      <c r="V46" s="17"/>
      <c r="AA46" s="17"/>
      <c r="AH46" s="17"/>
    </row>
    <row r="47" ht="33.0" customHeight="1">
      <c r="A47" s="1"/>
      <c r="B47" s="1"/>
      <c r="C47" s="3" t="s">
        <v>76</v>
      </c>
      <c r="D47" s="4"/>
      <c r="E47" s="4"/>
      <c r="F47" s="4"/>
      <c r="G47" s="4"/>
      <c r="H47" s="4"/>
      <c r="I47" s="4"/>
      <c r="J47" s="4"/>
      <c r="K47" s="4"/>
      <c r="L47" s="4"/>
      <c r="M47" s="5"/>
      <c r="O47" s="17"/>
      <c r="V47" s="17"/>
      <c r="AA47" s="17"/>
      <c r="AH47" s="17"/>
    </row>
    <row r="48" ht="33.0" customHeight="1">
      <c r="A48" s="1"/>
      <c r="B48" s="1"/>
      <c r="C48" s="7" t="s">
        <v>3</v>
      </c>
      <c r="D48" s="8" t="s">
        <v>4</v>
      </c>
      <c r="O48" s="17"/>
      <c r="V48" s="18"/>
      <c r="AA48" s="17"/>
      <c r="AH48" s="18"/>
    </row>
    <row r="49" ht="33.0" customHeight="1">
      <c r="A49" s="1"/>
      <c r="B49" s="1"/>
      <c r="C49" s="9" t="s">
        <v>5</v>
      </c>
      <c r="D49" s="10" t="s">
        <v>6</v>
      </c>
      <c r="O49" s="17"/>
      <c r="P49" s="32" t="s">
        <v>77</v>
      </c>
      <c r="U49" s="32" t="s">
        <v>78</v>
      </c>
      <c r="V49" s="42" t="s">
        <v>51</v>
      </c>
      <c r="W49" s="23">
        <f>IF(UPPER(TRIM(V49))="نعم", 1, IF(UPPER(TRIM(V49))="لا", 0, IF(UPPER(TRIM(V49))="ناقص", 0.5, "")))</f>
        <v>1</v>
      </c>
      <c r="Y49" s="36" t="s">
        <v>79</v>
      </c>
      <c r="AA49" s="17"/>
      <c r="AB49" s="32" t="s">
        <v>80</v>
      </c>
      <c r="AD49" s="33">
        <v>1.0</v>
      </c>
      <c r="AG49" s="32" t="s">
        <v>81</v>
      </c>
      <c r="AH49" s="43" t="s">
        <v>51</v>
      </c>
      <c r="AI49" s="23">
        <f>IF(UPPER(TRIM(AH49))="نعم", 1, IF(UPPER(TRIM(AH49))="لا", 0, IF(UPPER(TRIM(AH49))="ناقص", 0.5, "")))</f>
        <v>1</v>
      </c>
      <c r="AJ49" s="32" t="s">
        <v>82</v>
      </c>
      <c r="AK49" s="36" t="s">
        <v>83</v>
      </c>
    </row>
    <row r="50" ht="33.0" customHeight="1">
      <c r="A50" s="1"/>
      <c r="B50" s="1"/>
      <c r="C50" s="9" t="s">
        <v>7</v>
      </c>
      <c r="D50" s="11" t="s">
        <v>8</v>
      </c>
      <c r="O50" s="17"/>
      <c r="V50" s="17"/>
      <c r="AA50" s="17"/>
      <c r="AH50" s="17"/>
    </row>
    <row r="51" ht="33.0" customHeight="1">
      <c r="A51" s="1"/>
      <c r="B51" s="1"/>
      <c r="C51" s="12" t="s">
        <v>10</v>
      </c>
      <c r="D51" s="4"/>
      <c r="E51" s="4"/>
      <c r="F51" s="4"/>
      <c r="G51" s="4"/>
      <c r="H51" s="4"/>
      <c r="I51" s="4"/>
      <c r="J51" s="4"/>
      <c r="K51" s="4"/>
      <c r="L51" s="4"/>
      <c r="M51" s="5"/>
      <c r="O51" s="17"/>
      <c r="V51" s="17"/>
      <c r="AA51" s="17"/>
      <c r="AH51" s="17"/>
    </row>
    <row r="52" ht="33.0" customHeight="1">
      <c r="A52" s="1"/>
      <c r="B52" s="1"/>
      <c r="C52" s="13" t="s">
        <v>13</v>
      </c>
      <c r="O52" s="17"/>
      <c r="V52" s="17"/>
      <c r="AA52" s="17"/>
      <c r="AH52" s="17"/>
    </row>
    <row r="53" ht="33.0" customHeight="1">
      <c r="A53" s="1"/>
      <c r="B53" s="1"/>
      <c r="C53" s="14"/>
      <c r="O53" s="17"/>
      <c r="V53" s="18"/>
      <c r="AA53" s="17"/>
      <c r="AH53" s="18"/>
    </row>
    <row r="54" ht="33.0" customHeight="1">
      <c r="A54" s="1"/>
      <c r="B54" s="1"/>
      <c r="C54" s="14"/>
      <c r="O54" s="17"/>
      <c r="P54" s="32" t="s">
        <v>84</v>
      </c>
      <c r="R54" s="33">
        <v>3.0</v>
      </c>
      <c r="U54" s="32" t="s">
        <v>85</v>
      </c>
      <c r="V54" s="42" t="s">
        <v>51</v>
      </c>
      <c r="W54" s="23">
        <f>IF(UPPER(V54)="لا ", 0, IF(UPPER(V54)="نعم", 1, ""))</f>
        <v>1</v>
      </c>
      <c r="Y54" s="36" t="s">
        <v>86</v>
      </c>
      <c r="AA54" s="17"/>
      <c r="AB54" s="32" t="s">
        <v>87</v>
      </c>
      <c r="AD54" s="33">
        <v>1.0</v>
      </c>
      <c r="AG54" s="20" t="s">
        <v>74</v>
      </c>
      <c r="AH54" s="42" t="s">
        <v>51</v>
      </c>
      <c r="AI54" s="23" t="str">
        <f>IF(AH54="نعم"," اجب عن الأسئلة التالية", IF(AH54="لا ", 1, ""))</f>
        <v> اجب عن الأسئلة التالية</v>
      </c>
      <c r="AJ54" s="32" t="s">
        <v>75</v>
      </c>
      <c r="AK54" s="36" t="s">
        <v>88</v>
      </c>
    </row>
    <row r="55" ht="33.0" customHeight="1">
      <c r="A55" s="1"/>
      <c r="B55" s="1"/>
      <c r="C55" s="14"/>
      <c r="O55" s="17"/>
      <c r="V55" s="17"/>
      <c r="AA55" s="17"/>
      <c r="AH55" s="17"/>
    </row>
    <row r="56" ht="33.0" customHeight="1">
      <c r="A56" s="1"/>
      <c r="B56" s="1"/>
      <c r="C56" s="14"/>
      <c r="O56" s="17"/>
      <c r="V56" s="17"/>
      <c r="AA56" s="17"/>
      <c r="AH56" s="17"/>
    </row>
    <row r="57" ht="33.0" customHeight="1">
      <c r="A57" s="1"/>
      <c r="B57" s="1"/>
      <c r="C57" s="14"/>
      <c r="O57" s="17"/>
      <c r="V57" s="18"/>
      <c r="AA57" s="17"/>
      <c r="AH57" s="18"/>
    </row>
    <row r="58" ht="33.0" customHeight="1">
      <c r="A58" s="1"/>
      <c r="B58" s="1"/>
      <c r="C58" s="14"/>
      <c r="O58" s="17"/>
      <c r="P58" s="32" t="s">
        <v>89</v>
      </c>
      <c r="R58" s="33">
        <v>2.0</v>
      </c>
      <c r="U58" s="32" t="s">
        <v>85</v>
      </c>
      <c r="V58" s="42" t="s">
        <v>51</v>
      </c>
      <c r="W58" s="23">
        <f>IF(UPPER(TRIM(V58))="نعم", 1, IF(UPPER(TRIM(V58))="لا", 0, IF(UPPER(TRIM(V58))="ناقص", 0.5, "")))</f>
        <v>1</v>
      </c>
      <c r="Y58" s="36" t="s">
        <v>90</v>
      </c>
      <c r="AA58" s="17"/>
      <c r="AB58" s="32" t="s">
        <v>91</v>
      </c>
      <c r="AG58" s="32" t="s">
        <v>92</v>
      </c>
      <c r="AH58" s="42" t="s">
        <v>51</v>
      </c>
      <c r="AI58" s="23">
        <f>IF(UPPER(AH58)="لا ", 0, IF(UPPER(AH58)="نعم", 1, ""))</f>
        <v>1</v>
      </c>
      <c r="AJ58" s="34" t="s">
        <v>93</v>
      </c>
    </row>
    <row r="59" ht="33.0" customHeight="1">
      <c r="A59" s="1"/>
      <c r="B59" s="1"/>
      <c r="C59" s="14"/>
      <c r="O59" s="17"/>
      <c r="V59" s="17"/>
      <c r="AA59" s="17"/>
      <c r="AH59" s="17"/>
    </row>
    <row r="60" ht="33.0" customHeight="1">
      <c r="A60" s="1"/>
      <c r="B60" s="1"/>
      <c r="C60" s="14"/>
      <c r="O60" s="17"/>
      <c r="V60" s="17"/>
      <c r="AA60" s="17"/>
      <c r="AH60" s="17"/>
    </row>
    <row r="61" ht="33.0" customHeight="1">
      <c r="A61" s="1"/>
      <c r="B61" s="1"/>
      <c r="C61" s="3" t="s">
        <v>16</v>
      </c>
      <c r="D61" s="4"/>
      <c r="E61" s="4"/>
      <c r="F61" s="4"/>
      <c r="G61" s="4"/>
      <c r="H61" s="4"/>
      <c r="I61" s="4"/>
      <c r="J61" s="4"/>
      <c r="K61" s="4"/>
      <c r="L61" s="4"/>
      <c r="M61" s="5"/>
      <c r="O61" s="17"/>
      <c r="V61" s="17"/>
      <c r="AA61" s="17"/>
      <c r="AH61" s="17"/>
    </row>
    <row r="62" ht="33.0" customHeight="1">
      <c r="A62" s="1"/>
      <c r="B62" s="1"/>
      <c r="C62" s="15" t="s">
        <v>17</v>
      </c>
      <c r="D62" s="16" t="s">
        <v>18</v>
      </c>
      <c r="O62" s="17"/>
      <c r="V62" s="18"/>
      <c r="AA62" s="18"/>
      <c r="AH62" s="18"/>
    </row>
    <row r="63" ht="33.0" customHeight="1">
      <c r="A63" s="1"/>
      <c r="B63" s="1"/>
      <c r="C63" s="17"/>
      <c r="O63" s="17"/>
      <c r="P63" s="44" t="s">
        <v>94</v>
      </c>
      <c r="R63" s="33">
        <v>1.0</v>
      </c>
      <c r="U63" s="32" t="s">
        <v>85</v>
      </c>
      <c r="V63" s="42" t="s">
        <v>51</v>
      </c>
      <c r="W63" s="23">
        <f>IF(UPPER(V63)="لا ", 0, IF(UPPER(V63)="نعم", 1, ""))</f>
        <v>1</v>
      </c>
      <c r="Y63" s="36" t="s">
        <v>95</v>
      </c>
      <c r="AA63" s="45"/>
      <c r="AB63" s="46"/>
      <c r="AC63" s="2"/>
      <c r="AD63" s="47"/>
      <c r="AE63" s="47"/>
      <c r="AF63" s="48"/>
      <c r="AG63" s="48"/>
      <c r="AH63" s="48"/>
      <c r="AI63" s="48"/>
      <c r="AJ63" s="48"/>
      <c r="AK63" s="48"/>
    </row>
    <row r="64" ht="33.0" customHeight="1">
      <c r="A64" s="1"/>
      <c r="B64" s="1"/>
      <c r="C64" s="17"/>
      <c r="O64" s="17"/>
      <c r="V64" s="17"/>
      <c r="AA64" s="45"/>
      <c r="AB64" s="2"/>
      <c r="AC64" s="2"/>
      <c r="AD64" s="47"/>
      <c r="AE64" s="47"/>
      <c r="AF64" s="48"/>
      <c r="AG64" s="48"/>
      <c r="AH64" s="48"/>
      <c r="AI64" s="48"/>
      <c r="AJ64" s="48"/>
      <c r="AK64" s="48"/>
    </row>
    <row r="65" ht="33.0" customHeight="1">
      <c r="A65" s="1"/>
      <c r="B65" s="1"/>
      <c r="C65" s="17"/>
      <c r="O65" s="17"/>
      <c r="V65" s="17"/>
      <c r="AA65" s="45"/>
      <c r="AB65" s="2"/>
      <c r="AC65" s="2"/>
      <c r="AD65" s="47"/>
      <c r="AE65" s="47"/>
      <c r="AF65" s="48"/>
      <c r="AG65" s="48"/>
      <c r="AH65" s="48"/>
      <c r="AI65" s="48"/>
      <c r="AJ65" s="48"/>
      <c r="AK65" s="48"/>
    </row>
    <row r="66" ht="33.0" customHeight="1">
      <c r="A66" s="1"/>
      <c r="B66" s="1"/>
      <c r="C66" s="17"/>
      <c r="O66" s="17"/>
      <c r="V66" s="18"/>
      <c r="AA66" s="45"/>
      <c r="AB66" s="2"/>
      <c r="AC66" s="2"/>
      <c r="AD66" s="47"/>
      <c r="AE66" s="47"/>
      <c r="AF66" s="48"/>
      <c r="AG66" s="48"/>
      <c r="AH66" s="48"/>
      <c r="AI66" s="48"/>
      <c r="AJ66" s="48"/>
      <c r="AK66" s="48"/>
    </row>
    <row r="67" ht="33.0" customHeight="1">
      <c r="A67" s="1"/>
      <c r="B67" s="1"/>
      <c r="C67" s="18"/>
      <c r="O67" s="17"/>
      <c r="P67" s="32" t="s">
        <v>96</v>
      </c>
      <c r="R67" s="33">
        <v>1.0</v>
      </c>
      <c r="U67" s="32" t="s">
        <v>97</v>
      </c>
      <c r="V67" s="42" t="s">
        <v>51</v>
      </c>
      <c r="W67" s="23">
        <f>IF(UPPER(TRIM(V67))="نعم", 1, IF(UPPER(TRIM(V67))="لا", 0, IF(UPPER(TRIM(V67))="متأخر", 0.5, "")))</f>
        <v>1</v>
      </c>
      <c r="Y67" s="36" t="s">
        <v>98</v>
      </c>
      <c r="AA67" s="45"/>
      <c r="AB67" s="48"/>
      <c r="AC67" s="47"/>
      <c r="AD67" s="47"/>
      <c r="AE67" s="47"/>
      <c r="AF67" s="48"/>
      <c r="AG67" s="48"/>
      <c r="AH67" s="48"/>
      <c r="AI67" s="48"/>
      <c r="AJ67" s="48"/>
      <c r="AK67" s="48"/>
    </row>
    <row r="68" ht="33.0" customHeight="1">
      <c r="A68" s="1"/>
      <c r="B68" s="1"/>
      <c r="C68" s="19" t="s">
        <v>21</v>
      </c>
      <c r="D68" s="16" t="s">
        <v>22</v>
      </c>
      <c r="O68" s="17"/>
      <c r="V68" s="17"/>
      <c r="AA68" s="45"/>
      <c r="AB68" s="47"/>
      <c r="AC68" s="47"/>
      <c r="AD68" s="47"/>
      <c r="AE68" s="47"/>
      <c r="AF68" s="48"/>
      <c r="AG68" s="48"/>
      <c r="AH68" s="48"/>
      <c r="AI68" s="48"/>
      <c r="AJ68" s="48"/>
      <c r="AK68" s="48"/>
    </row>
    <row r="69" ht="33.0" customHeight="1">
      <c r="A69" s="1"/>
      <c r="B69" s="1"/>
      <c r="C69" s="17"/>
      <c r="O69" s="17"/>
      <c r="V69" s="17"/>
      <c r="AA69" s="45"/>
      <c r="AB69" s="47"/>
      <c r="AC69" s="47"/>
      <c r="AD69" s="47"/>
      <c r="AE69" s="47"/>
      <c r="AF69" s="48"/>
      <c r="AG69" s="48"/>
      <c r="AH69" s="48"/>
      <c r="AI69" s="48"/>
      <c r="AJ69" s="48"/>
      <c r="AK69" s="48"/>
    </row>
    <row r="70" ht="33.0" customHeight="1">
      <c r="A70" s="1"/>
      <c r="B70" s="1"/>
      <c r="C70" s="17"/>
      <c r="O70" s="17"/>
      <c r="V70" s="17"/>
      <c r="AA70" s="45"/>
      <c r="AB70" s="47"/>
      <c r="AC70" s="47"/>
      <c r="AD70" s="47"/>
      <c r="AE70" s="47"/>
      <c r="AF70" s="48"/>
      <c r="AG70" s="48"/>
      <c r="AH70" s="48"/>
      <c r="AI70" s="48"/>
      <c r="AJ70" s="48"/>
      <c r="AK70" s="48"/>
    </row>
    <row r="71" ht="33.0" customHeight="1">
      <c r="A71" s="1"/>
      <c r="B71" s="1"/>
      <c r="C71" s="18"/>
      <c r="O71" s="17"/>
      <c r="V71" s="18"/>
      <c r="AA71" s="45"/>
      <c r="AB71" s="47"/>
      <c r="AC71" s="47"/>
      <c r="AD71" s="47"/>
      <c r="AE71" s="47"/>
      <c r="AF71" s="48"/>
      <c r="AG71" s="48"/>
      <c r="AH71" s="48"/>
      <c r="AI71" s="48"/>
      <c r="AJ71" s="48"/>
      <c r="AK71" s="48"/>
    </row>
    <row r="72" ht="33.0" customHeight="1">
      <c r="A72" s="1"/>
      <c r="B72" s="1"/>
      <c r="C72" s="21" t="s">
        <v>25</v>
      </c>
      <c r="D72" s="22" t="s">
        <v>26</v>
      </c>
      <c r="H72" s="19" t="s">
        <v>27</v>
      </c>
      <c r="I72" s="23">
        <v>13.0</v>
      </c>
      <c r="O72" s="17"/>
      <c r="P72" s="32" t="s">
        <v>99</v>
      </c>
      <c r="R72" s="33">
        <v>2.0</v>
      </c>
      <c r="U72" s="34" t="s">
        <v>100</v>
      </c>
      <c r="V72" s="34" t="s">
        <v>56</v>
      </c>
      <c r="W72" s="23" t="str">
        <f>IF(V72="يوجد"," اجب عن الأسئلة التالية", IF(V72="لا يوجد", 0, ""))</f>
        <v> اجب عن الأسئلة التالية</v>
      </c>
      <c r="Y72" s="36" t="s">
        <v>95</v>
      </c>
      <c r="AA72" s="45"/>
      <c r="AB72" s="48"/>
      <c r="AC72" s="47"/>
      <c r="AD72" s="47"/>
      <c r="AE72" s="47"/>
      <c r="AF72" s="48"/>
      <c r="AG72" s="48"/>
      <c r="AH72" s="48"/>
      <c r="AI72" s="48"/>
      <c r="AJ72" s="48"/>
      <c r="AK72" s="48"/>
    </row>
    <row r="73" ht="33.0" customHeight="1">
      <c r="A73" s="1"/>
      <c r="B73" s="1"/>
      <c r="C73" s="18"/>
      <c r="H73" s="18"/>
      <c r="I73" s="23">
        <v>17.0</v>
      </c>
      <c r="O73" s="17"/>
      <c r="AA73" s="45"/>
      <c r="AB73" s="47"/>
      <c r="AC73" s="47"/>
      <c r="AD73" s="47"/>
      <c r="AE73" s="47"/>
      <c r="AF73" s="48"/>
      <c r="AG73" s="48"/>
      <c r="AH73" s="48"/>
      <c r="AI73" s="48"/>
      <c r="AJ73" s="48"/>
      <c r="AK73" s="48"/>
    </row>
    <row r="74" ht="33.0" customHeight="1">
      <c r="A74" s="1"/>
      <c r="B74" s="1"/>
      <c r="C74" s="19" t="s">
        <v>30</v>
      </c>
      <c r="D74" s="20" t="s">
        <v>31</v>
      </c>
      <c r="O74" s="17"/>
      <c r="AA74" s="45"/>
      <c r="AB74" s="47"/>
      <c r="AC74" s="47"/>
      <c r="AD74" s="47"/>
      <c r="AE74" s="47"/>
      <c r="AF74" s="48"/>
      <c r="AG74" s="48"/>
      <c r="AH74" s="48"/>
      <c r="AI74" s="48"/>
      <c r="AJ74" s="48"/>
      <c r="AK74" s="48"/>
    </row>
    <row r="75" ht="33.0" customHeight="1">
      <c r="A75" s="1"/>
      <c r="B75" s="1"/>
      <c r="C75" s="18"/>
      <c r="O75" s="17"/>
      <c r="P75" s="32" t="s">
        <v>101</v>
      </c>
      <c r="U75" s="32" t="s">
        <v>102</v>
      </c>
      <c r="V75" s="34" t="s">
        <v>103</v>
      </c>
      <c r="W75" s="23">
        <f>IF(V75="لم يتم اعتمادها من الجمعية العمومية."," 0", IF(V75="تم اعتمادها من الجمعية العمومية.", 1, ""))</f>
        <v>1</v>
      </c>
      <c r="Y75" s="36" t="s">
        <v>95</v>
      </c>
      <c r="AA75" s="45"/>
      <c r="AB75" s="48"/>
      <c r="AC75" s="47"/>
      <c r="AD75" s="47"/>
      <c r="AE75" s="47"/>
      <c r="AF75" s="48"/>
      <c r="AG75" s="48"/>
      <c r="AH75" s="48"/>
      <c r="AI75" s="48"/>
      <c r="AJ75" s="48"/>
      <c r="AK75" s="48"/>
    </row>
    <row r="76" ht="33.0" customHeight="1">
      <c r="A76" s="1"/>
      <c r="B76" s="1"/>
      <c r="C76" s="25"/>
      <c r="O76" s="17"/>
      <c r="AA76" s="45"/>
      <c r="AB76" s="47"/>
      <c r="AC76" s="47"/>
      <c r="AD76" s="47"/>
      <c r="AE76" s="47"/>
      <c r="AF76" s="48"/>
      <c r="AG76" s="48"/>
      <c r="AH76" s="48"/>
      <c r="AI76" s="48"/>
      <c r="AJ76" s="48"/>
      <c r="AK76" s="48"/>
    </row>
    <row r="77" ht="33.0" customHeight="1">
      <c r="A77" s="1"/>
      <c r="B77" s="1"/>
      <c r="C77" s="26" t="s">
        <v>34</v>
      </c>
      <c r="D77" s="27" t="s">
        <v>35</v>
      </c>
      <c r="E77" s="28"/>
      <c r="F77" s="29" t="s">
        <v>36</v>
      </c>
      <c r="G77" s="29" t="s">
        <v>37</v>
      </c>
      <c r="H77" s="29" t="s">
        <v>38</v>
      </c>
      <c r="I77" s="29" t="s">
        <v>39</v>
      </c>
      <c r="J77" s="29" t="s">
        <v>40</v>
      </c>
      <c r="K77" s="29" t="s">
        <v>36</v>
      </c>
      <c r="L77" s="29" t="s">
        <v>17</v>
      </c>
      <c r="M77" s="29" t="s">
        <v>41</v>
      </c>
      <c r="O77" s="18"/>
      <c r="AA77" s="45"/>
      <c r="AB77" s="47"/>
      <c r="AC77" s="47"/>
      <c r="AD77" s="47"/>
      <c r="AE77" s="47"/>
      <c r="AF77" s="48"/>
      <c r="AG77" s="48"/>
      <c r="AH77" s="48"/>
      <c r="AI77" s="48"/>
      <c r="AJ77" s="48"/>
      <c r="AK77" s="48"/>
    </row>
    <row r="78" ht="33.0" customHeight="1">
      <c r="A78" s="1"/>
      <c r="B78" s="1"/>
      <c r="C78" s="17"/>
      <c r="D78" s="30"/>
      <c r="E78" s="31"/>
      <c r="F78" s="18"/>
      <c r="G78" s="18"/>
      <c r="H78" s="18"/>
      <c r="I78" s="18"/>
      <c r="J78" s="18"/>
      <c r="K78" s="18"/>
      <c r="L78" s="18"/>
      <c r="M78" s="18"/>
      <c r="N78" s="1"/>
      <c r="O78" s="2"/>
      <c r="P78" s="2"/>
      <c r="Q78" s="2"/>
      <c r="R78" s="2"/>
      <c r="S78" s="2"/>
      <c r="T78" s="2"/>
      <c r="U78" s="2"/>
      <c r="V78" s="2"/>
      <c r="W78" s="2"/>
      <c r="X78" s="2"/>
      <c r="Y78" s="2"/>
      <c r="Z78" s="1"/>
      <c r="AA78" s="45"/>
      <c r="AB78" s="1"/>
      <c r="AC78" s="1"/>
      <c r="AD78" s="1"/>
      <c r="AE78" s="1"/>
      <c r="AF78" s="1"/>
      <c r="AG78" s="1"/>
      <c r="AH78" s="1"/>
      <c r="AI78" s="1"/>
      <c r="AJ78" s="1"/>
      <c r="AK78" s="1"/>
    </row>
    <row r="79" ht="33.0" customHeight="1">
      <c r="A79" s="1"/>
      <c r="B79" s="1"/>
      <c r="C79" s="17"/>
      <c r="D79" s="32" t="s">
        <v>104</v>
      </c>
      <c r="F79" s="33">
        <v>3.0</v>
      </c>
      <c r="G79" s="34" t="s">
        <v>43</v>
      </c>
      <c r="H79" s="32" t="s">
        <v>44</v>
      </c>
      <c r="I79" s="32" t="s">
        <v>105</v>
      </c>
      <c r="J79" s="49" t="s">
        <v>56</v>
      </c>
      <c r="K79" s="23">
        <f>IF(UPPER(TRIM(J79))="يوجد", 1, IF(UPPER(TRIM(J79))="لا يوجد", 0, IF(UPPER(TRIM(J79))="ناقص", 0.5, "")))</f>
        <v>1</v>
      </c>
      <c r="L79" s="32" t="s">
        <v>106</v>
      </c>
      <c r="M79" s="40" t="s">
        <v>107</v>
      </c>
      <c r="N79" s="1"/>
      <c r="O79" s="2"/>
      <c r="P79" s="2"/>
      <c r="Q79" s="2"/>
      <c r="R79" s="2"/>
      <c r="S79" s="2"/>
      <c r="T79" s="2"/>
      <c r="U79" s="2"/>
      <c r="V79" s="2"/>
      <c r="W79" s="2"/>
      <c r="X79" s="2"/>
      <c r="Y79" s="2"/>
      <c r="Z79" s="1"/>
      <c r="AA79" s="45"/>
      <c r="AB79" s="1"/>
      <c r="AC79" s="1"/>
      <c r="AD79" s="1"/>
      <c r="AE79" s="1"/>
      <c r="AF79" s="1"/>
      <c r="AG79" s="1"/>
      <c r="AH79" s="1"/>
      <c r="AI79" s="1"/>
      <c r="AJ79" s="1"/>
      <c r="AK79" s="1"/>
    </row>
    <row r="80" ht="33.0" customHeight="1">
      <c r="A80" s="1"/>
      <c r="B80" s="1"/>
      <c r="C80" s="17"/>
      <c r="J80" s="17"/>
      <c r="N80" s="1"/>
      <c r="O80" s="2"/>
      <c r="P80" s="2"/>
      <c r="Q80" s="2"/>
      <c r="R80" s="2"/>
      <c r="S80" s="2"/>
      <c r="T80" s="2"/>
      <c r="U80" s="2"/>
      <c r="V80" s="2"/>
      <c r="W80" s="2"/>
      <c r="X80" s="2"/>
      <c r="Y80" s="2"/>
      <c r="Z80" s="1"/>
      <c r="AA80" s="1"/>
      <c r="AB80" s="1"/>
      <c r="AC80" s="1"/>
      <c r="AD80" s="1"/>
      <c r="AE80" s="1"/>
      <c r="AF80" s="1"/>
      <c r="AG80" s="1"/>
      <c r="AH80" s="1"/>
      <c r="AI80" s="1"/>
      <c r="AJ80" s="1"/>
      <c r="AK80" s="1"/>
    </row>
    <row r="81" ht="33.0" customHeight="1">
      <c r="A81" s="1"/>
      <c r="B81" s="1"/>
      <c r="C81" s="17"/>
      <c r="J81" s="17"/>
      <c r="N81" s="1"/>
      <c r="O81" s="2"/>
      <c r="P81" s="2"/>
      <c r="Q81" s="2"/>
      <c r="R81" s="2"/>
      <c r="S81" s="2"/>
      <c r="T81" s="2"/>
      <c r="U81" s="2"/>
      <c r="V81" s="2"/>
      <c r="W81" s="2"/>
      <c r="X81" s="2"/>
      <c r="Y81" s="2"/>
      <c r="Z81" s="1"/>
      <c r="AA81" s="1"/>
      <c r="AB81" s="1"/>
      <c r="AC81" s="1"/>
      <c r="AD81" s="1"/>
      <c r="AE81" s="1"/>
      <c r="AF81" s="1"/>
      <c r="AG81" s="1"/>
      <c r="AH81" s="1"/>
      <c r="AI81" s="1"/>
      <c r="AJ81" s="1"/>
      <c r="AK81" s="1"/>
    </row>
    <row r="82" ht="33.0" customHeight="1">
      <c r="A82" s="1"/>
      <c r="B82" s="1"/>
      <c r="C82" s="18"/>
      <c r="J82" s="18"/>
      <c r="N82" s="1"/>
      <c r="O82" s="2"/>
      <c r="P82" s="2"/>
      <c r="Q82" s="2"/>
      <c r="R82" s="2"/>
      <c r="S82" s="2"/>
      <c r="T82" s="2"/>
      <c r="U82" s="2"/>
      <c r="V82" s="2"/>
      <c r="W82" s="2"/>
      <c r="X82" s="2"/>
      <c r="Y82" s="2"/>
      <c r="Z82" s="1"/>
      <c r="AA82" s="1"/>
      <c r="AB82" s="1"/>
      <c r="AC82" s="1"/>
      <c r="AD82" s="1"/>
      <c r="AE82" s="1"/>
      <c r="AF82" s="1"/>
      <c r="AG82" s="1"/>
      <c r="AH82" s="1"/>
      <c r="AI82" s="1"/>
      <c r="AJ82" s="1"/>
      <c r="AK82" s="1"/>
    </row>
    <row r="83" ht="33.0" customHeight="1">
      <c r="A83" s="1"/>
      <c r="B83" s="1"/>
      <c r="C83" s="45"/>
      <c r="D83" s="48"/>
      <c r="E83" s="48"/>
      <c r="F83" s="50"/>
      <c r="G83" s="47"/>
      <c r="H83" s="48"/>
      <c r="I83" s="48"/>
      <c r="J83" s="48"/>
      <c r="K83" s="47" t="str">
        <f>IF(J83="يوجد", 1, IF(J83="لا يوجد", 0, ""))</f>
        <v/>
      </c>
      <c r="L83" s="47"/>
      <c r="M83" s="2"/>
      <c r="N83" s="1"/>
      <c r="O83" s="2"/>
      <c r="P83" s="2"/>
      <c r="Q83" s="2"/>
      <c r="R83" s="2"/>
      <c r="S83" s="2"/>
      <c r="T83" s="2"/>
      <c r="U83" s="2"/>
      <c r="V83" s="2"/>
      <c r="W83" s="2"/>
      <c r="X83" s="2"/>
      <c r="Y83" s="2"/>
      <c r="Z83" s="1"/>
      <c r="AA83" s="1"/>
      <c r="AB83" s="1"/>
      <c r="AC83" s="1"/>
      <c r="AD83" s="1"/>
      <c r="AE83" s="1"/>
      <c r="AF83" s="1"/>
      <c r="AG83" s="1"/>
      <c r="AH83" s="1"/>
      <c r="AI83" s="1"/>
      <c r="AJ83" s="1"/>
      <c r="AK83" s="1"/>
    </row>
    <row r="84" ht="30.0" customHeight="1">
      <c r="A84" s="1"/>
      <c r="B84" s="1"/>
      <c r="C84" s="45"/>
      <c r="D84" s="48"/>
      <c r="E84" s="48"/>
      <c r="F84" s="50"/>
      <c r="G84" s="47"/>
      <c r="H84" s="48"/>
      <c r="I84" s="48"/>
      <c r="J84" s="47"/>
      <c r="K84" s="47"/>
      <c r="L84" s="47"/>
      <c r="M84" s="2"/>
      <c r="N84" s="1"/>
      <c r="O84" s="2"/>
      <c r="P84" s="2"/>
      <c r="Q84" s="2"/>
      <c r="R84" s="2"/>
      <c r="S84" s="2"/>
      <c r="T84" s="2"/>
      <c r="U84" s="2"/>
      <c r="V84" s="2"/>
      <c r="W84" s="2"/>
      <c r="X84" s="2"/>
      <c r="Y84" s="2"/>
      <c r="Z84" s="1"/>
      <c r="AA84" s="1"/>
      <c r="AB84" s="1"/>
      <c r="AC84" s="1"/>
      <c r="AD84" s="1"/>
      <c r="AE84" s="1"/>
      <c r="AF84" s="1"/>
      <c r="AG84" s="1"/>
      <c r="AH84" s="1"/>
      <c r="AI84" s="1"/>
      <c r="AJ84" s="1"/>
      <c r="AK84" s="1"/>
    </row>
    <row r="85" ht="30.0" customHeight="1">
      <c r="A85" s="1"/>
      <c r="B85" s="1"/>
      <c r="C85" s="45"/>
      <c r="D85" s="48"/>
      <c r="E85" s="48"/>
      <c r="F85" s="50"/>
      <c r="G85" s="47"/>
      <c r="H85" s="48"/>
      <c r="I85" s="48"/>
      <c r="J85" s="47"/>
      <c r="K85" s="47"/>
      <c r="L85" s="47"/>
      <c r="M85" s="2"/>
      <c r="N85" s="1"/>
      <c r="O85" s="2"/>
      <c r="P85" s="2"/>
      <c r="Q85" s="2"/>
      <c r="R85" s="2"/>
      <c r="S85" s="2"/>
      <c r="T85" s="2"/>
      <c r="U85" s="2"/>
      <c r="V85" s="2"/>
      <c r="W85" s="2"/>
      <c r="X85" s="2"/>
      <c r="Y85" s="2"/>
      <c r="Z85" s="1"/>
      <c r="AA85" s="1"/>
      <c r="AB85" s="1"/>
      <c r="AC85" s="1"/>
      <c r="AD85" s="1"/>
      <c r="AE85" s="1"/>
      <c r="AF85" s="1"/>
      <c r="AG85" s="1"/>
      <c r="AH85" s="1"/>
      <c r="AI85" s="1"/>
      <c r="AJ85" s="1"/>
      <c r="AK85" s="1"/>
    </row>
    <row r="86" ht="30.0" customHeight="1">
      <c r="A86" s="1"/>
      <c r="B86" s="1"/>
      <c r="C86" s="45"/>
      <c r="D86" s="48"/>
      <c r="E86" s="48"/>
      <c r="F86" s="50"/>
      <c r="G86" s="47"/>
      <c r="H86" s="48"/>
      <c r="I86" s="48"/>
      <c r="J86" s="47"/>
      <c r="K86" s="47"/>
      <c r="L86" s="47"/>
      <c r="M86" s="2"/>
      <c r="N86" s="1"/>
      <c r="O86" s="2"/>
      <c r="P86" s="2"/>
      <c r="Q86" s="2"/>
      <c r="R86" s="2"/>
      <c r="S86" s="2"/>
      <c r="T86" s="2"/>
      <c r="U86" s="2"/>
      <c r="V86" s="2"/>
      <c r="W86" s="2"/>
      <c r="X86" s="2"/>
      <c r="Y86" s="2"/>
      <c r="Z86" s="1"/>
      <c r="AA86" s="1"/>
      <c r="AB86" s="1"/>
      <c r="AC86" s="1"/>
      <c r="AD86" s="1"/>
      <c r="AE86" s="1"/>
      <c r="AF86" s="1"/>
      <c r="AG86" s="1"/>
      <c r="AH86" s="1"/>
      <c r="AI86" s="1"/>
      <c r="AJ86" s="1"/>
      <c r="AK86" s="1"/>
    </row>
    <row r="87" ht="30.0" customHeight="1">
      <c r="A87" s="1"/>
      <c r="B87" s="1"/>
      <c r="C87" s="45"/>
      <c r="D87" s="48"/>
      <c r="E87" s="48"/>
      <c r="F87" s="50"/>
      <c r="G87" s="47"/>
      <c r="H87" s="48"/>
      <c r="I87" s="48"/>
      <c r="J87" s="47"/>
      <c r="K87" s="47"/>
      <c r="L87" s="47"/>
      <c r="M87" s="2"/>
      <c r="N87" s="1"/>
      <c r="O87" s="2"/>
      <c r="P87" s="2"/>
      <c r="Q87" s="2"/>
      <c r="R87" s="2"/>
      <c r="S87" s="2"/>
      <c r="T87" s="2"/>
      <c r="U87" s="2"/>
      <c r="V87" s="2"/>
      <c r="W87" s="2"/>
      <c r="X87" s="2"/>
      <c r="Y87" s="2"/>
      <c r="Z87" s="1"/>
      <c r="AA87" s="1"/>
      <c r="AB87" s="1"/>
      <c r="AC87" s="1"/>
      <c r="AD87" s="1"/>
      <c r="AE87" s="1"/>
      <c r="AF87" s="1"/>
      <c r="AG87" s="1"/>
      <c r="AH87" s="1"/>
      <c r="AI87" s="1"/>
      <c r="AJ87" s="1"/>
      <c r="AK87" s="1"/>
    </row>
    <row r="88" ht="30.0" customHeight="1">
      <c r="A88" s="1"/>
      <c r="B88" s="1"/>
      <c r="C88" s="2"/>
      <c r="D88" s="2"/>
      <c r="E88" s="2"/>
      <c r="F88" s="2"/>
      <c r="G88" s="2"/>
      <c r="H88" s="2"/>
      <c r="I88" s="2"/>
      <c r="J88" s="2"/>
      <c r="K88" s="2"/>
      <c r="L88" s="2"/>
      <c r="M88" s="2"/>
      <c r="N88" s="1"/>
      <c r="O88" s="2"/>
      <c r="P88" s="2"/>
      <c r="Q88" s="2"/>
      <c r="R88" s="2"/>
      <c r="S88" s="2"/>
      <c r="T88" s="2"/>
      <c r="U88" s="2"/>
      <c r="V88" s="2"/>
      <c r="W88" s="2"/>
      <c r="X88" s="2"/>
      <c r="Y88" s="2"/>
      <c r="Z88" s="1"/>
      <c r="AA88" s="1"/>
      <c r="AB88" s="1"/>
      <c r="AC88" s="1"/>
      <c r="AD88" s="1"/>
      <c r="AE88" s="1"/>
      <c r="AF88" s="1"/>
      <c r="AG88" s="1"/>
      <c r="AH88" s="1"/>
      <c r="AI88" s="1"/>
      <c r="AJ88" s="1"/>
      <c r="AK88" s="1"/>
    </row>
    <row r="89" ht="30.0" customHeight="1">
      <c r="A89" s="1"/>
      <c r="B89" s="1"/>
      <c r="C89" s="2"/>
      <c r="D89" s="2"/>
      <c r="E89" s="2"/>
      <c r="F89" s="2"/>
      <c r="G89" s="2"/>
      <c r="H89" s="2"/>
      <c r="I89" s="2"/>
      <c r="J89" s="2"/>
      <c r="K89" s="2"/>
      <c r="L89" s="2"/>
      <c r="M89" s="2"/>
      <c r="N89" s="1"/>
      <c r="O89" s="2"/>
      <c r="P89" s="2"/>
      <c r="Q89" s="2"/>
      <c r="R89" s="2"/>
      <c r="S89" s="2"/>
      <c r="T89" s="2"/>
      <c r="U89" s="2"/>
      <c r="V89" s="2"/>
      <c r="W89" s="2"/>
      <c r="X89" s="2"/>
      <c r="Y89" s="2"/>
      <c r="Z89" s="1"/>
      <c r="AA89" s="1"/>
      <c r="AB89" s="1"/>
      <c r="AC89" s="1"/>
      <c r="AD89" s="1"/>
      <c r="AE89" s="1"/>
      <c r="AF89" s="1"/>
      <c r="AG89" s="1"/>
      <c r="AH89" s="1"/>
      <c r="AI89" s="1"/>
      <c r="AJ89" s="1"/>
      <c r="AK89" s="1"/>
    </row>
    <row r="90" ht="30.0" customHeight="1">
      <c r="A90" s="1"/>
      <c r="B90" s="1"/>
      <c r="C90" s="2"/>
      <c r="D90" s="2"/>
      <c r="E90" s="2"/>
      <c r="F90" s="2"/>
      <c r="G90" s="2"/>
      <c r="H90" s="2"/>
      <c r="I90" s="2"/>
      <c r="J90" s="2"/>
      <c r="K90" s="2"/>
      <c r="L90" s="2"/>
      <c r="M90" s="2"/>
      <c r="N90" s="1"/>
      <c r="O90" s="2"/>
      <c r="P90" s="2"/>
      <c r="Q90" s="2"/>
      <c r="R90" s="2"/>
      <c r="S90" s="2"/>
      <c r="T90" s="2"/>
      <c r="U90" s="2"/>
      <c r="V90" s="2"/>
      <c r="W90" s="2"/>
      <c r="X90" s="2"/>
      <c r="Y90" s="2"/>
      <c r="Z90" s="1"/>
      <c r="AA90" s="1"/>
      <c r="AB90" s="1"/>
      <c r="AC90" s="1"/>
      <c r="AD90" s="1"/>
      <c r="AE90" s="1"/>
      <c r="AF90" s="1"/>
      <c r="AG90" s="1"/>
      <c r="AH90" s="1"/>
      <c r="AI90" s="1"/>
      <c r="AJ90" s="1"/>
      <c r="AK90" s="1"/>
    </row>
    <row r="91" ht="30.0" customHeight="1">
      <c r="A91" s="1"/>
      <c r="B91" s="1"/>
      <c r="C91" s="2"/>
      <c r="D91" s="2"/>
      <c r="E91" s="2"/>
      <c r="F91" s="2"/>
      <c r="G91" s="2"/>
      <c r="H91" s="2"/>
      <c r="I91" s="2"/>
      <c r="J91" s="2"/>
      <c r="K91" s="2"/>
      <c r="L91" s="2"/>
      <c r="M91" s="2"/>
      <c r="N91" s="1"/>
      <c r="O91" s="2"/>
      <c r="P91" s="2"/>
      <c r="Q91" s="2"/>
      <c r="R91" s="2"/>
      <c r="S91" s="2"/>
      <c r="T91" s="2"/>
      <c r="U91" s="2"/>
      <c r="V91" s="2"/>
      <c r="W91" s="2"/>
      <c r="X91" s="2"/>
      <c r="Y91" s="2"/>
      <c r="Z91" s="1"/>
      <c r="AA91" s="1"/>
      <c r="AB91" s="1"/>
      <c r="AC91" s="1"/>
      <c r="AD91" s="1"/>
      <c r="AE91" s="1"/>
      <c r="AF91" s="1"/>
      <c r="AG91" s="1"/>
      <c r="AH91" s="1"/>
      <c r="AI91" s="1"/>
      <c r="AJ91" s="1"/>
      <c r="AK91" s="1"/>
    </row>
    <row r="92" ht="30.0" customHeight="1">
      <c r="A92" s="1"/>
      <c r="B92" s="1"/>
      <c r="C92" s="2"/>
      <c r="D92" s="2"/>
      <c r="E92" s="2"/>
      <c r="F92" s="2"/>
      <c r="G92" s="2"/>
      <c r="H92" s="2"/>
      <c r="I92" s="2"/>
      <c r="J92" s="2"/>
      <c r="K92" s="2"/>
      <c r="L92" s="2"/>
      <c r="M92" s="2"/>
      <c r="N92" s="1"/>
      <c r="O92" s="2"/>
      <c r="P92" s="2"/>
      <c r="Q92" s="2"/>
      <c r="R92" s="2"/>
      <c r="S92" s="2"/>
      <c r="T92" s="2"/>
      <c r="U92" s="2"/>
      <c r="V92" s="2"/>
      <c r="W92" s="2"/>
      <c r="X92" s="2"/>
      <c r="Y92" s="2"/>
      <c r="Z92" s="1"/>
      <c r="AA92" s="1"/>
      <c r="AB92" s="1"/>
      <c r="AC92" s="1"/>
      <c r="AD92" s="1"/>
      <c r="AE92" s="1"/>
      <c r="AF92" s="1"/>
      <c r="AG92" s="1"/>
      <c r="AH92" s="1"/>
      <c r="AI92" s="1"/>
      <c r="AJ92" s="1"/>
      <c r="AK92" s="1"/>
    </row>
    <row r="93" ht="30.0" customHeight="1">
      <c r="A93" s="1"/>
      <c r="B93" s="1"/>
      <c r="C93" s="2"/>
      <c r="D93" s="2"/>
      <c r="E93" s="2"/>
      <c r="F93" s="2"/>
      <c r="G93" s="2"/>
      <c r="H93" s="2"/>
      <c r="I93" s="2"/>
      <c r="J93" s="2"/>
      <c r="K93" s="2"/>
      <c r="L93" s="2"/>
      <c r="M93" s="2"/>
      <c r="N93" s="1"/>
      <c r="O93" s="2"/>
      <c r="P93" s="2"/>
      <c r="Q93" s="2"/>
      <c r="R93" s="2"/>
      <c r="S93" s="2"/>
      <c r="T93" s="2"/>
      <c r="U93" s="2"/>
      <c r="V93" s="2"/>
      <c r="W93" s="2"/>
      <c r="X93" s="2"/>
      <c r="Y93" s="2"/>
      <c r="Z93" s="1"/>
      <c r="AA93" s="1"/>
      <c r="AB93" s="1"/>
      <c r="AC93" s="1"/>
      <c r="AD93" s="1"/>
      <c r="AE93" s="1"/>
      <c r="AF93" s="1"/>
      <c r="AG93" s="1"/>
      <c r="AH93" s="1"/>
      <c r="AI93" s="1"/>
      <c r="AJ93" s="1"/>
      <c r="AK93" s="1"/>
    </row>
    <row r="94" ht="30.0" customHeight="1">
      <c r="A94" s="1"/>
      <c r="B94" s="1"/>
      <c r="C94" s="2"/>
      <c r="D94" s="2"/>
      <c r="E94" s="2"/>
      <c r="F94" s="2"/>
      <c r="G94" s="2"/>
      <c r="H94" s="2"/>
      <c r="I94" s="2"/>
      <c r="J94" s="2"/>
      <c r="K94" s="2"/>
      <c r="L94" s="2"/>
      <c r="M94" s="2"/>
      <c r="N94" s="1"/>
      <c r="O94" s="2"/>
      <c r="P94" s="2"/>
      <c r="Q94" s="2"/>
      <c r="R94" s="2"/>
      <c r="S94" s="2"/>
      <c r="T94" s="2"/>
      <c r="U94" s="2"/>
      <c r="V94" s="2"/>
      <c r="W94" s="2"/>
      <c r="X94" s="2"/>
      <c r="Y94" s="2"/>
      <c r="Z94" s="1"/>
      <c r="AA94" s="1"/>
      <c r="AB94" s="1"/>
      <c r="AC94" s="1"/>
      <c r="AD94" s="1"/>
      <c r="AE94" s="1"/>
      <c r="AF94" s="1"/>
      <c r="AG94" s="1"/>
      <c r="AH94" s="1"/>
      <c r="AI94" s="1"/>
      <c r="AJ94" s="1"/>
      <c r="AK94" s="1"/>
    </row>
    <row r="95" ht="30.0" customHeight="1">
      <c r="A95" s="1"/>
      <c r="B95" s="1"/>
      <c r="C95" s="2"/>
      <c r="D95" s="2"/>
      <c r="E95" s="2"/>
      <c r="F95" s="2"/>
      <c r="G95" s="2"/>
      <c r="H95" s="2"/>
      <c r="I95" s="2"/>
      <c r="J95" s="2"/>
      <c r="K95" s="2"/>
      <c r="L95" s="2"/>
      <c r="M95" s="2"/>
      <c r="N95" s="1"/>
      <c r="O95" s="2"/>
      <c r="P95" s="2"/>
      <c r="Q95" s="2"/>
      <c r="R95" s="2"/>
      <c r="S95" s="2"/>
      <c r="T95" s="2"/>
      <c r="U95" s="2"/>
      <c r="V95" s="2"/>
      <c r="W95" s="2"/>
      <c r="X95" s="2"/>
      <c r="Y95" s="2"/>
      <c r="Z95" s="1"/>
      <c r="AA95" s="1"/>
      <c r="AB95" s="1"/>
      <c r="AC95" s="1"/>
      <c r="AD95" s="1"/>
      <c r="AE95" s="1"/>
      <c r="AF95" s="1"/>
      <c r="AG95" s="1"/>
      <c r="AH95" s="1"/>
      <c r="AI95" s="1"/>
      <c r="AJ95" s="1"/>
      <c r="AK95" s="1"/>
    </row>
    <row r="96" ht="30.0" customHeight="1">
      <c r="A96" s="1"/>
      <c r="B96" s="1"/>
      <c r="C96" s="2"/>
      <c r="D96" s="2"/>
      <c r="E96" s="2"/>
      <c r="F96" s="2"/>
      <c r="G96" s="2"/>
      <c r="H96" s="2"/>
      <c r="I96" s="2"/>
      <c r="J96" s="2"/>
      <c r="K96" s="2"/>
      <c r="L96" s="2"/>
      <c r="M96" s="2"/>
      <c r="N96" s="1"/>
      <c r="O96" s="2"/>
      <c r="P96" s="2"/>
      <c r="Q96" s="2"/>
      <c r="R96" s="2"/>
      <c r="S96" s="2"/>
      <c r="T96" s="2"/>
      <c r="U96" s="2"/>
      <c r="V96" s="2"/>
      <c r="W96" s="2"/>
      <c r="X96" s="2"/>
      <c r="Y96" s="2"/>
      <c r="Z96" s="1"/>
      <c r="AA96" s="1"/>
      <c r="AB96" s="1"/>
      <c r="AC96" s="1"/>
      <c r="AD96" s="1"/>
      <c r="AE96" s="1"/>
      <c r="AF96" s="1"/>
      <c r="AG96" s="1"/>
      <c r="AH96" s="1"/>
      <c r="AI96" s="1"/>
      <c r="AJ96" s="1"/>
      <c r="AK96" s="1"/>
    </row>
    <row r="97" ht="30.0" customHeight="1">
      <c r="A97" s="1"/>
      <c r="B97" s="1"/>
      <c r="C97" s="2"/>
      <c r="D97" s="2"/>
      <c r="E97" s="2"/>
      <c r="F97" s="2"/>
      <c r="G97" s="2"/>
      <c r="H97" s="2"/>
      <c r="I97" s="2"/>
      <c r="J97" s="2"/>
      <c r="K97" s="2"/>
      <c r="L97" s="2"/>
      <c r="M97" s="2"/>
      <c r="N97" s="1"/>
      <c r="O97" s="2"/>
      <c r="P97" s="2"/>
      <c r="Q97" s="2"/>
      <c r="R97" s="2"/>
      <c r="S97" s="2"/>
      <c r="T97" s="2"/>
      <c r="U97" s="2"/>
      <c r="V97" s="2"/>
      <c r="W97" s="2"/>
      <c r="X97" s="2"/>
      <c r="Y97" s="2"/>
      <c r="Z97" s="1"/>
      <c r="AA97" s="1"/>
      <c r="AB97" s="1"/>
      <c r="AC97" s="1"/>
      <c r="AD97" s="1"/>
      <c r="AE97" s="1"/>
      <c r="AF97" s="1"/>
      <c r="AG97" s="1"/>
      <c r="AH97" s="1"/>
      <c r="AI97" s="1"/>
      <c r="AJ97" s="1"/>
      <c r="AK97" s="1"/>
    </row>
    <row r="98" ht="30.0" customHeight="1">
      <c r="A98" s="1"/>
      <c r="B98" s="1"/>
      <c r="C98" s="2"/>
      <c r="D98" s="2"/>
      <c r="E98" s="2"/>
      <c r="F98" s="2"/>
      <c r="G98" s="2"/>
      <c r="H98" s="2"/>
      <c r="I98" s="2"/>
      <c r="J98" s="2"/>
      <c r="K98" s="2"/>
      <c r="L98" s="2"/>
      <c r="M98" s="2"/>
      <c r="N98" s="1"/>
      <c r="O98" s="2"/>
      <c r="P98" s="2"/>
      <c r="Q98" s="2"/>
      <c r="R98" s="2"/>
      <c r="S98" s="2"/>
      <c r="T98" s="2"/>
      <c r="U98" s="2"/>
      <c r="V98" s="2"/>
      <c r="W98" s="2"/>
      <c r="X98" s="2"/>
      <c r="Y98" s="2"/>
      <c r="Z98" s="1"/>
      <c r="AA98" s="1"/>
      <c r="AB98" s="1"/>
      <c r="AC98" s="1"/>
      <c r="AD98" s="1"/>
      <c r="AE98" s="1"/>
      <c r="AF98" s="1"/>
      <c r="AG98" s="1"/>
      <c r="AH98" s="1"/>
      <c r="AI98" s="1"/>
      <c r="AJ98" s="1"/>
      <c r="AK98" s="1"/>
    </row>
    <row r="99" ht="30.0" customHeight="1">
      <c r="A99" s="1"/>
      <c r="B99" s="1"/>
      <c r="C99" s="2"/>
      <c r="D99" s="2"/>
      <c r="E99" s="2"/>
      <c r="F99" s="2"/>
      <c r="G99" s="2"/>
      <c r="H99" s="2"/>
      <c r="I99" s="2"/>
      <c r="J99" s="2"/>
      <c r="K99" s="2"/>
      <c r="L99" s="2"/>
      <c r="M99" s="2"/>
      <c r="N99" s="1"/>
      <c r="O99" s="2"/>
      <c r="P99" s="2"/>
      <c r="Q99" s="2"/>
      <c r="R99" s="2"/>
      <c r="S99" s="2"/>
      <c r="T99" s="2"/>
      <c r="U99" s="2"/>
      <c r="V99" s="2"/>
      <c r="W99" s="2"/>
      <c r="X99" s="2"/>
      <c r="Y99" s="2"/>
      <c r="Z99" s="1"/>
      <c r="AA99" s="1"/>
      <c r="AB99" s="1"/>
      <c r="AC99" s="1"/>
      <c r="AD99" s="1"/>
      <c r="AE99" s="1"/>
      <c r="AF99" s="1"/>
      <c r="AG99" s="1"/>
      <c r="AH99" s="1"/>
      <c r="AI99" s="1"/>
      <c r="AJ99" s="1"/>
      <c r="AK99" s="1"/>
    </row>
    <row r="100" ht="30.0" customHeight="1">
      <c r="A100" s="1"/>
      <c r="B100" s="1"/>
      <c r="C100" s="2"/>
      <c r="D100" s="2"/>
      <c r="E100" s="2"/>
      <c r="F100" s="2"/>
      <c r="G100" s="2"/>
      <c r="H100" s="2"/>
      <c r="I100" s="2"/>
      <c r="J100" s="2"/>
      <c r="K100" s="2"/>
      <c r="L100" s="2"/>
      <c r="M100" s="2"/>
      <c r="N100" s="1"/>
      <c r="O100" s="2"/>
      <c r="P100" s="2"/>
      <c r="Q100" s="2"/>
      <c r="R100" s="2"/>
      <c r="S100" s="2"/>
      <c r="T100" s="2"/>
      <c r="U100" s="2"/>
      <c r="V100" s="2"/>
      <c r="W100" s="2"/>
      <c r="X100" s="2"/>
      <c r="Y100" s="2"/>
      <c r="Z100" s="1"/>
      <c r="AA100" s="1"/>
      <c r="AB100" s="1"/>
      <c r="AC100" s="1"/>
      <c r="AD100" s="1"/>
      <c r="AE100" s="1"/>
      <c r="AF100" s="1"/>
      <c r="AG100" s="1"/>
      <c r="AH100" s="1"/>
      <c r="AI100" s="1"/>
      <c r="AJ100" s="1"/>
      <c r="AK100" s="1"/>
    </row>
    <row r="101" ht="30.0" customHeight="1">
      <c r="A101" s="1"/>
      <c r="B101" s="1"/>
      <c r="C101" s="2"/>
      <c r="D101" s="2"/>
      <c r="E101" s="2"/>
      <c r="F101" s="2"/>
      <c r="G101" s="2"/>
      <c r="H101" s="2"/>
      <c r="I101" s="2"/>
      <c r="J101" s="2"/>
      <c r="K101" s="2"/>
      <c r="L101" s="2"/>
      <c r="M101" s="2"/>
      <c r="N101" s="1"/>
      <c r="O101" s="2"/>
      <c r="P101" s="2"/>
      <c r="Q101" s="2"/>
      <c r="R101" s="2"/>
      <c r="S101" s="2"/>
      <c r="T101" s="2"/>
      <c r="U101" s="2"/>
      <c r="V101" s="2"/>
      <c r="W101" s="2"/>
      <c r="X101" s="2"/>
      <c r="Y101" s="2"/>
      <c r="Z101" s="1"/>
      <c r="AA101" s="1"/>
      <c r="AB101" s="1"/>
      <c r="AC101" s="1"/>
      <c r="AD101" s="1"/>
      <c r="AE101" s="1"/>
      <c r="AF101" s="1"/>
      <c r="AG101" s="1"/>
      <c r="AH101" s="1"/>
      <c r="AI101" s="1"/>
      <c r="AJ101" s="1"/>
      <c r="AK101" s="1"/>
    </row>
    <row r="102" ht="30.0" customHeight="1">
      <c r="A102" s="1"/>
      <c r="B102" s="1"/>
      <c r="C102" s="2"/>
      <c r="D102" s="2"/>
      <c r="E102" s="2"/>
      <c r="F102" s="2"/>
      <c r="G102" s="2"/>
      <c r="H102" s="2"/>
      <c r="I102" s="2"/>
      <c r="J102" s="2"/>
      <c r="K102" s="2"/>
      <c r="L102" s="2"/>
      <c r="M102" s="2"/>
      <c r="N102" s="1"/>
      <c r="O102" s="2"/>
      <c r="P102" s="2"/>
      <c r="Q102" s="2"/>
      <c r="R102" s="2"/>
      <c r="S102" s="2"/>
      <c r="T102" s="2"/>
      <c r="U102" s="2"/>
      <c r="V102" s="2"/>
      <c r="W102" s="2"/>
      <c r="X102" s="2"/>
      <c r="Y102" s="2"/>
      <c r="Z102" s="1"/>
      <c r="AA102" s="1"/>
      <c r="AB102" s="1"/>
      <c r="AC102" s="1"/>
      <c r="AD102" s="1"/>
      <c r="AE102" s="1"/>
      <c r="AF102" s="1"/>
      <c r="AG102" s="1"/>
      <c r="AH102" s="1"/>
      <c r="AI102" s="1"/>
      <c r="AJ102" s="1"/>
      <c r="AK102" s="1"/>
    </row>
    <row r="103" ht="30.0" customHeight="1">
      <c r="A103" s="1"/>
      <c r="B103" s="1"/>
      <c r="C103" s="2"/>
      <c r="D103" s="2"/>
      <c r="E103" s="2"/>
      <c r="F103" s="2"/>
      <c r="G103" s="2"/>
      <c r="H103" s="2"/>
      <c r="I103" s="2"/>
      <c r="J103" s="2"/>
      <c r="K103" s="2"/>
      <c r="L103" s="2"/>
      <c r="M103" s="2"/>
      <c r="N103" s="1"/>
      <c r="O103" s="2"/>
      <c r="P103" s="2"/>
      <c r="Q103" s="2"/>
      <c r="R103" s="2"/>
      <c r="S103" s="2"/>
      <c r="T103" s="2"/>
      <c r="U103" s="2"/>
      <c r="V103" s="2"/>
      <c r="W103" s="2"/>
      <c r="X103" s="2"/>
      <c r="Y103" s="2"/>
      <c r="Z103" s="1"/>
      <c r="AA103" s="1"/>
      <c r="AB103" s="1"/>
      <c r="AC103" s="1"/>
      <c r="AD103" s="1"/>
      <c r="AE103" s="1"/>
      <c r="AF103" s="1"/>
      <c r="AG103" s="1"/>
      <c r="AH103" s="1"/>
      <c r="AI103" s="1"/>
      <c r="AJ103" s="1"/>
      <c r="AK103" s="1"/>
    </row>
    <row r="104" ht="30.0" customHeight="1">
      <c r="A104" s="1"/>
      <c r="B104" s="1"/>
      <c r="C104" s="2"/>
      <c r="D104" s="2"/>
      <c r="E104" s="2"/>
      <c r="F104" s="2"/>
      <c r="G104" s="2"/>
      <c r="H104" s="2"/>
      <c r="I104" s="2"/>
      <c r="J104" s="2"/>
      <c r="K104" s="2"/>
      <c r="L104" s="2"/>
      <c r="M104" s="2"/>
      <c r="N104" s="1"/>
      <c r="O104" s="2"/>
      <c r="P104" s="2"/>
      <c r="Q104" s="2"/>
      <c r="R104" s="2"/>
      <c r="S104" s="2"/>
      <c r="T104" s="2"/>
      <c r="U104" s="2"/>
      <c r="V104" s="2"/>
      <c r="W104" s="2"/>
      <c r="X104" s="2"/>
      <c r="Y104" s="2"/>
      <c r="Z104" s="1"/>
      <c r="AA104" s="1"/>
      <c r="AB104" s="1"/>
      <c r="AC104" s="1"/>
      <c r="AD104" s="1"/>
      <c r="AE104" s="1"/>
      <c r="AF104" s="1"/>
      <c r="AG104" s="1"/>
      <c r="AH104" s="1"/>
      <c r="AI104" s="1"/>
      <c r="AJ104" s="1"/>
      <c r="AK104" s="1"/>
    </row>
    <row r="105" ht="30.0" customHeight="1">
      <c r="A105" s="1"/>
      <c r="B105" s="1"/>
      <c r="C105" s="2"/>
      <c r="D105" s="2"/>
      <c r="E105" s="2"/>
      <c r="F105" s="2"/>
      <c r="G105" s="2"/>
      <c r="H105" s="2"/>
      <c r="I105" s="2"/>
      <c r="J105" s="2"/>
      <c r="K105" s="2"/>
      <c r="L105" s="2"/>
      <c r="M105" s="2"/>
      <c r="N105" s="1"/>
      <c r="O105" s="2"/>
      <c r="P105" s="2"/>
      <c r="Q105" s="2"/>
      <c r="R105" s="2"/>
      <c r="S105" s="2"/>
      <c r="T105" s="2"/>
      <c r="U105" s="2"/>
      <c r="V105" s="2"/>
      <c r="W105" s="2"/>
      <c r="X105" s="2"/>
      <c r="Y105" s="2"/>
      <c r="Z105" s="1"/>
      <c r="AA105" s="1"/>
      <c r="AB105" s="1"/>
      <c r="AC105" s="1"/>
      <c r="AD105" s="1"/>
      <c r="AE105" s="1"/>
      <c r="AF105" s="1"/>
      <c r="AG105" s="1"/>
      <c r="AH105" s="1"/>
      <c r="AI105" s="1"/>
      <c r="AJ105" s="1"/>
      <c r="AK105" s="1"/>
    </row>
    <row r="106" ht="30.0" customHeight="1">
      <c r="A106" s="1"/>
      <c r="B106" s="1"/>
      <c r="C106" s="2"/>
      <c r="D106" s="2"/>
      <c r="E106" s="2"/>
      <c r="F106" s="2"/>
      <c r="G106" s="2"/>
      <c r="H106" s="2"/>
      <c r="I106" s="2"/>
      <c r="J106" s="2"/>
      <c r="K106" s="2"/>
      <c r="L106" s="2"/>
      <c r="M106" s="2"/>
      <c r="N106" s="1"/>
      <c r="O106" s="2"/>
      <c r="P106" s="2"/>
      <c r="Q106" s="2"/>
      <c r="R106" s="2"/>
      <c r="S106" s="2"/>
      <c r="T106" s="2"/>
      <c r="U106" s="2"/>
      <c r="V106" s="2"/>
      <c r="W106" s="2"/>
      <c r="X106" s="2"/>
      <c r="Y106" s="2"/>
      <c r="Z106" s="1"/>
      <c r="AA106" s="1"/>
      <c r="AB106" s="1"/>
      <c r="AC106" s="1"/>
      <c r="AD106" s="1"/>
      <c r="AE106" s="1"/>
      <c r="AF106" s="1"/>
      <c r="AG106" s="1"/>
      <c r="AH106" s="1"/>
      <c r="AI106" s="1"/>
      <c r="AJ106" s="1"/>
      <c r="AK106" s="1"/>
    </row>
    <row r="107" ht="30.0" customHeight="1">
      <c r="A107" s="1"/>
      <c r="B107" s="1"/>
      <c r="C107" s="2"/>
      <c r="D107" s="2"/>
      <c r="E107" s="2"/>
      <c r="F107" s="2"/>
      <c r="G107" s="2"/>
      <c r="H107" s="2"/>
      <c r="I107" s="2"/>
      <c r="J107" s="2"/>
      <c r="K107" s="2"/>
      <c r="L107" s="2"/>
      <c r="M107" s="2"/>
      <c r="N107" s="1"/>
      <c r="O107" s="2"/>
      <c r="P107" s="2"/>
      <c r="Q107" s="2"/>
      <c r="R107" s="2"/>
      <c r="S107" s="2"/>
      <c r="T107" s="2"/>
      <c r="U107" s="2"/>
      <c r="V107" s="2"/>
      <c r="W107" s="2"/>
      <c r="X107" s="2"/>
      <c r="Y107" s="2"/>
      <c r="Z107" s="1"/>
      <c r="AA107" s="1"/>
      <c r="AB107" s="1"/>
      <c r="AC107" s="1"/>
      <c r="AD107" s="1"/>
      <c r="AE107" s="1"/>
      <c r="AF107" s="1"/>
      <c r="AG107" s="1"/>
      <c r="AH107" s="1"/>
      <c r="AI107" s="1"/>
      <c r="AJ107" s="1"/>
      <c r="AK107" s="1"/>
    </row>
    <row r="108" ht="30.0" customHeight="1">
      <c r="A108" s="1"/>
      <c r="B108" s="1"/>
      <c r="C108" s="2"/>
      <c r="D108" s="2"/>
      <c r="E108" s="2"/>
      <c r="F108" s="2"/>
      <c r="G108" s="2"/>
      <c r="H108" s="2"/>
      <c r="I108" s="2"/>
      <c r="J108" s="2"/>
      <c r="K108" s="2"/>
      <c r="L108" s="2"/>
      <c r="M108" s="2"/>
      <c r="N108" s="1"/>
      <c r="O108" s="2"/>
      <c r="P108" s="2"/>
      <c r="Q108" s="2"/>
      <c r="R108" s="2"/>
      <c r="S108" s="2"/>
      <c r="T108" s="2"/>
      <c r="U108" s="2"/>
      <c r="V108" s="2"/>
      <c r="W108" s="2"/>
      <c r="X108" s="2"/>
      <c r="Y108" s="2"/>
      <c r="Z108" s="1"/>
      <c r="AA108" s="1"/>
      <c r="AB108" s="1"/>
      <c r="AC108" s="1"/>
      <c r="AD108" s="1"/>
      <c r="AE108" s="1"/>
      <c r="AF108" s="1"/>
      <c r="AG108" s="1"/>
      <c r="AH108" s="1"/>
      <c r="AI108" s="1"/>
      <c r="AJ108" s="1"/>
      <c r="AK108" s="1"/>
    </row>
    <row r="109" ht="30.0" customHeight="1">
      <c r="A109" s="1"/>
      <c r="B109" s="1"/>
      <c r="C109" s="2"/>
      <c r="D109" s="2"/>
      <c r="E109" s="2"/>
      <c r="F109" s="2"/>
      <c r="G109" s="2"/>
      <c r="H109" s="2"/>
      <c r="I109" s="2"/>
      <c r="J109" s="2"/>
      <c r="K109" s="2"/>
      <c r="L109" s="2"/>
      <c r="M109" s="2"/>
      <c r="N109" s="1"/>
      <c r="O109" s="2"/>
      <c r="P109" s="2"/>
      <c r="Q109" s="2"/>
      <c r="R109" s="2"/>
      <c r="S109" s="2"/>
      <c r="T109" s="2"/>
      <c r="U109" s="2"/>
      <c r="V109" s="2"/>
      <c r="W109" s="2"/>
      <c r="X109" s="2"/>
      <c r="Y109" s="2"/>
      <c r="Z109" s="1"/>
      <c r="AA109" s="1"/>
      <c r="AB109" s="1"/>
      <c r="AC109" s="1"/>
      <c r="AD109" s="1"/>
      <c r="AE109" s="1"/>
      <c r="AF109" s="1"/>
      <c r="AG109" s="1"/>
      <c r="AH109" s="1"/>
      <c r="AI109" s="1"/>
      <c r="AJ109" s="1"/>
      <c r="AK109" s="1"/>
    </row>
    <row r="110" ht="30.0" customHeight="1">
      <c r="A110" s="1"/>
      <c r="B110" s="1"/>
      <c r="C110" s="2"/>
      <c r="D110" s="2"/>
      <c r="E110" s="2"/>
      <c r="F110" s="2"/>
      <c r="G110" s="2"/>
      <c r="H110" s="2"/>
      <c r="I110" s="2"/>
      <c r="J110" s="2"/>
      <c r="K110" s="2"/>
      <c r="L110" s="2"/>
      <c r="M110" s="2"/>
      <c r="N110" s="1"/>
      <c r="O110" s="2"/>
      <c r="P110" s="2"/>
      <c r="Q110" s="2"/>
      <c r="R110" s="2"/>
      <c r="S110" s="2"/>
      <c r="T110" s="2"/>
      <c r="U110" s="2"/>
      <c r="V110" s="2"/>
      <c r="W110" s="2"/>
      <c r="X110" s="2"/>
      <c r="Y110" s="2"/>
      <c r="Z110" s="1"/>
      <c r="AA110" s="1"/>
      <c r="AB110" s="1"/>
      <c r="AC110" s="1"/>
      <c r="AD110" s="1"/>
      <c r="AE110" s="1"/>
      <c r="AF110" s="1"/>
      <c r="AG110" s="1"/>
      <c r="AH110" s="1"/>
      <c r="AI110" s="1"/>
      <c r="AJ110" s="1"/>
      <c r="AK110" s="1"/>
    </row>
    <row r="111" ht="30.0" customHeight="1">
      <c r="A111" s="1"/>
      <c r="B111" s="1"/>
      <c r="C111" s="2"/>
      <c r="D111" s="2"/>
      <c r="E111" s="2"/>
      <c r="F111" s="2"/>
      <c r="G111" s="2"/>
      <c r="H111" s="2"/>
      <c r="I111" s="2"/>
      <c r="J111" s="2"/>
      <c r="K111" s="2"/>
      <c r="L111" s="2"/>
      <c r="M111" s="2"/>
      <c r="N111" s="1"/>
      <c r="O111" s="2"/>
      <c r="P111" s="2"/>
      <c r="Q111" s="2"/>
      <c r="R111" s="2"/>
      <c r="S111" s="2"/>
      <c r="T111" s="2"/>
      <c r="U111" s="2"/>
      <c r="V111" s="2"/>
      <c r="W111" s="2"/>
      <c r="X111" s="2"/>
      <c r="Y111" s="2"/>
      <c r="Z111" s="1"/>
      <c r="AA111" s="1"/>
      <c r="AB111" s="1"/>
      <c r="AC111" s="1"/>
      <c r="AD111" s="1"/>
      <c r="AE111" s="1"/>
      <c r="AF111" s="1"/>
      <c r="AG111" s="1"/>
      <c r="AH111" s="1"/>
      <c r="AI111" s="1"/>
      <c r="AJ111" s="1"/>
      <c r="AK111" s="1"/>
    </row>
    <row r="112" ht="30.0" customHeight="1">
      <c r="A112" s="1"/>
      <c r="B112" s="1"/>
      <c r="C112" s="2"/>
      <c r="D112" s="2"/>
      <c r="E112" s="2"/>
      <c r="F112" s="2"/>
      <c r="G112" s="2"/>
      <c r="H112" s="2"/>
      <c r="I112" s="2"/>
      <c r="J112" s="2"/>
      <c r="K112" s="2"/>
      <c r="L112" s="2"/>
      <c r="M112" s="2"/>
      <c r="N112" s="1"/>
      <c r="O112" s="2"/>
      <c r="P112" s="2"/>
      <c r="Q112" s="2"/>
      <c r="R112" s="2"/>
      <c r="S112" s="2"/>
      <c r="T112" s="2"/>
      <c r="U112" s="2"/>
      <c r="V112" s="2"/>
      <c r="W112" s="2"/>
      <c r="X112" s="2"/>
      <c r="Y112" s="2"/>
      <c r="Z112" s="1"/>
      <c r="AA112" s="1"/>
      <c r="AB112" s="1"/>
      <c r="AC112" s="1"/>
      <c r="AD112" s="1"/>
      <c r="AE112" s="1"/>
      <c r="AF112" s="1"/>
      <c r="AG112" s="1"/>
      <c r="AH112" s="1"/>
      <c r="AI112" s="1"/>
      <c r="AJ112" s="1"/>
      <c r="AK112" s="1"/>
    </row>
    <row r="113" ht="30.0" customHeight="1">
      <c r="A113" s="1"/>
      <c r="B113" s="1"/>
      <c r="C113" s="2"/>
      <c r="D113" s="2"/>
      <c r="E113" s="2"/>
      <c r="F113" s="2"/>
      <c r="G113" s="2"/>
      <c r="H113" s="2"/>
      <c r="I113" s="2"/>
      <c r="J113" s="2"/>
      <c r="K113" s="2"/>
      <c r="L113" s="2"/>
      <c r="M113" s="2"/>
      <c r="N113" s="1"/>
      <c r="O113" s="2"/>
      <c r="P113" s="2"/>
      <c r="Q113" s="2"/>
      <c r="R113" s="2"/>
      <c r="S113" s="2"/>
      <c r="T113" s="2"/>
      <c r="U113" s="2"/>
      <c r="V113" s="2"/>
      <c r="W113" s="2"/>
      <c r="X113" s="2"/>
      <c r="Y113" s="2"/>
      <c r="Z113" s="1"/>
      <c r="AA113" s="1"/>
      <c r="AB113" s="1"/>
      <c r="AC113" s="1"/>
      <c r="AD113" s="1"/>
      <c r="AE113" s="1"/>
      <c r="AF113" s="1"/>
      <c r="AG113" s="1"/>
      <c r="AH113" s="1"/>
      <c r="AI113" s="1"/>
      <c r="AJ113" s="1"/>
      <c r="AK113" s="1"/>
    </row>
    <row r="114" ht="30.0" customHeight="1">
      <c r="A114" s="1"/>
      <c r="B114" s="1"/>
      <c r="C114" s="2"/>
      <c r="D114" s="2"/>
      <c r="E114" s="2"/>
      <c r="F114" s="2"/>
      <c r="G114" s="2"/>
      <c r="H114" s="2"/>
      <c r="I114" s="2"/>
      <c r="J114" s="2"/>
      <c r="K114" s="2"/>
      <c r="L114" s="2"/>
      <c r="M114" s="2"/>
      <c r="N114" s="1"/>
      <c r="O114" s="2"/>
      <c r="P114" s="2"/>
      <c r="Q114" s="2"/>
      <c r="R114" s="2"/>
      <c r="S114" s="2"/>
      <c r="T114" s="2"/>
      <c r="U114" s="2"/>
      <c r="V114" s="2"/>
      <c r="W114" s="2"/>
      <c r="X114" s="2"/>
      <c r="Y114" s="2"/>
      <c r="Z114" s="1"/>
      <c r="AA114" s="1"/>
      <c r="AB114" s="1"/>
      <c r="AC114" s="1"/>
      <c r="AD114" s="1"/>
      <c r="AE114" s="1"/>
      <c r="AF114" s="1"/>
      <c r="AG114" s="1"/>
      <c r="AH114" s="1"/>
      <c r="AI114" s="1"/>
      <c r="AJ114" s="1"/>
      <c r="AK114" s="1"/>
    </row>
    <row r="115" ht="30.0" customHeight="1">
      <c r="A115" s="1"/>
      <c r="B115" s="1"/>
      <c r="C115" s="2"/>
      <c r="D115" s="2"/>
      <c r="E115" s="2"/>
      <c r="F115" s="2"/>
      <c r="G115" s="2"/>
      <c r="H115" s="2"/>
      <c r="I115" s="2"/>
      <c r="J115" s="2"/>
      <c r="K115" s="2"/>
      <c r="L115" s="2"/>
      <c r="M115" s="2"/>
      <c r="N115" s="1"/>
      <c r="O115" s="2"/>
      <c r="P115" s="2"/>
      <c r="Q115" s="2"/>
      <c r="R115" s="2"/>
      <c r="S115" s="2"/>
      <c r="T115" s="2"/>
      <c r="U115" s="2"/>
      <c r="V115" s="2"/>
      <c r="W115" s="2"/>
      <c r="X115" s="2"/>
      <c r="Y115" s="2"/>
      <c r="Z115" s="1"/>
      <c r="AA115" s="1"/>
      <c r="AB115" s="1"/>
      <c r="AC115" s="1"/>
      <c r="AD115" s="1"/>
      <c r="AE115" s="1"/>
      <c r="AF115" s="1"/>
      <c r="AG115" s="1"/>
      <c r="AH115" s="1"/>
      <c r="AI115" s="1"/>
      <c r="AJ115" s="1"/>
      <c r="AK115" s="1"/>
    </row>
    <row r="116" ht="30.0" customHeight="1">
      <c r="A116" s="1"/>
      <c r="B116" s="1"/>
      <c r="C116" s="2"/>
      <c r="D116" s="2"/>
      <c r="E116" s="2"/>
      <c r="F116" s="2"/>
      <c r="G116" s="2"/>
      <c r="H116" s="2"/>
      <c r="I116" s="2"/>
      <c r="J116" s="2"/>
      <c r="K116" s="2"/>
      <c r="L116" s="2"/>
      <c r="M116" s="2"/>
      <c r="N116" s="1"/>
      <c r="O116" s="2"/>
      <c r="P116" s="2"/>
      <c r="Q116" s="2"/>
      <c r="R116" s="2"/>
      <c r="S116" s="2"/>
      <c r="T116" s="2"/>
      <c r="U116" s="2"/>
      <c r="V116" s="2"/>
      <c r="W116" s="2"/>
      <c r="X116" s="2"/>
      <c r="Y116" s="2"/>
      <c r="Z116" s="1"/>
      <c r="AA116" s="1"/>
      <c r="AB116" s="1"/>
      <c r="AC116" s="1"/>
      <c r="AD116" s="1"/>
      <c r="AE116" s="1"/>
      <c r="AF116" s="1"/>
      <c r="AG116" s="1"/>
      <c r="AH116" s="1"/>
      <c r="AI116" s="1"/>
      <c r="AJ116" s="1"/>
      <c r="AK116" s="1"/>
    </row>
    <row r="117" ht="30.0" customHeight="1">
      <c r="A117" s="1"/>
      <c r="B117" s="1"/>
      <c r="C117" s="2"/>
      <c r="D117" s="2"/>
      <c r="E117" s="2"/>
      <c r="F117" s="2"/>
      <c r="G117" s="2"/>
      <c r="H117" s="2"/>
      <c r="I117" s="2"/>
      <c r="J117" s="2"/>
      <c r="K117" s="2"/>
      <c r="L117" s="2"/>
      <c r="M117" s="2"/>
      <c r="N117" s="1"/>
      <c r="O117" s="2"/>
      <c r="P117" s="2"/>
      <c r="Q117" s="2"/>
      <c r="R117" s="2"/>
      <c r="S117" s="2"/>
      <c r="T117" s="2"/>
      <c r="U117" s="2"/>
      <c r="V117" s="2"/>
      <c r="W117" s="2"/>
      <c r="X117" s="2"/>
      <c r="Y117" s="2"/>
      <c r="Z117" s="1"/>
      <c r="AA117" s="1"/>
      <c r="AB117" s="1"/>
      <c r="AC117" s="1"/>
      <c r="AD117" s="1"/>
      <c r="AE117" s="1"/>
      <c r="AF117" s="1"/>
      <c r="AG117" s="1"/>
      <c r="AH117" s="1"/>
      <c r="AI117" s="1"/>
      <c r="AJ117" s="1"/>
      <c r="AK117" s="1"/>
    </row>
    <row r="118" ht="30.0" customHeight="1">
      <c r="A118" s="1"/>
      <c r="B118" s="1"/>
      <c r="C118" s="2"/>
      <c r="D118" s="2"/>
      <c r="E118" s="2"/>
      <c r="F118" s="2"/>
      <c r="G118" s="2"/>
      <c r="H118" s="2"/>
      <c r="I118" s="2"/>
      <c r="J118" s="2"/>
      <c r="K118" s="2"/>
      <c r="L118" s="2"/>
      <c r="M118" s="2"/>
      <c r="N118" s="1"/>
      <c r="O118" s="2"/>
      <c r="P118" s="2"/>
      <c r="Q118" s="2"/>
      <c r="R118" s="2"/>
      <c r="S118" s="2"/>
      <c r="T118" s="2"/>
      <c r="U118" s="2"/>
      <c r="V118" s="2"/>
      <c r="W118" s="2"/>
      <c r="X118" s="2"/>
      <c r="Y118" s="2"/>
      <c r="Z118" s="1"/>
      <c r="AA118" s="1"/>
      <c r="AB118" s="1"/>
      <c r="AC118" s="1"/>
      <c r="AD118" s="1"/>
      <c r="AE118" s="1"/>
      <c r="AF118" s="1"/>
      <c r="AG118" s="1"/>
      <c r="AH118" s="1"/>
      <c r="AI118" s="1"/>
      <c r="AJ118" s="1"/>
      <c r="AK118" s="1"/>
    </row>
    <row r="119" ht="30.0" customHeight="1">
      <c r="A119" s="1"/>
      <c r="B119" s="1"/>
      <c r="C119" s="2"/>
      <c r="D119" s="2"/>
      <c r="E119" s="2"/>
      <c r="F119" s="2"/>
      <c r="G119" s="2"/>
      <c r="H119" s="2"/>
      <c r="I119" s="2"/>
      <c r="J119" s="2"/>
      <c r="K119" s="2"/>
      <c r="L119" s="2"/>
      <c r="M119" s="2"/>
      <c r="N119" s="1"/>
      <c r="O119" s="2"/>
      <c r="P119" s="2"/>
      <c r="Q119" s="2"/>
      <c r="R119" s="2"/>
      <c r="S119" s="2"/>
      <c r="T119" s="2"/>
      <c r="U119" s="2"/>
      <c r="V119" s="2"/>
      <c r="W119" s="2"/>
      <c r="X119" s="2"/>
      <c r="Y119" s="2"/>
      <c r="Z119" s="1"/>
      <c r="AA119" s="1"/>
      <c r="AB119" s="1"/>
      <c r="AC119" s="1"/>
      <c r="AD119" s="1"/>
      <c r="AE119" s="1"/>
      <c r="AF119" s="1"/>
      <c r="AG119" s="1"/>
      <c r="AH119" s="1"/>
      <c r="AI119" s="1"/>
      <c r="AJ119" s="1"/>
      <c r="AK119" s="1"/>
    </row>
    <row r="120" ht="30.0" customHeight="1">
      <c r="A120" s="1"/>
      <c r="B120" s="1"/>
      <c r="C120" s="2"/>
      <c r="D120" s="2"/>
      <c r="E120" s="2"/>
      <c r="F120" s="2"/>
      <c r="G120" s="2"/>
      <c r="H120" s="2"/>
      <c r="I120" s="2"/>
      <c r="J120" s="2"/>
      <c r="K120" s="2"/>
      <c r="L120" s="2"/>
      <c r="M120" s="2"/>
      <c r="N120" s="1"/>
      <c r="O120" s="2"/>
      <c r="P120" s="2"/>
      <c r="Q120" s="2"/>
      <c r="R120" s="2"/>
      <c r="S120" s="2"/>
      <c r="T120" s="2"/>
      <c r="U120" s="2"/>
      <c r="V120" s="2"/>
      <c r="W120" s="2"/>
      <c r="X120" s="2"/>
      <c r="Y120" s="2"/>
      <c r="Z120" s="1"/>
      <c r="AA120" s="1"/>
      <c r="AB120" s="1"/>
      <c r="AC120" s="1"/>
      <c r="AD120" s="1"/>
      <c r="AE120" s="1"/>
      <c r="AF120" s="1"/>
      <c r="AG120" s="1"/>
      <c r="AH120" s="1"/>
      <c r="AI120" s="1"/>
      <c r="AJ120" s="1"/>
      <c r="AK120" s="1"/>
    </row>
    <row r="121" ht="30.0" customHeight="1">
      <c r="A121" s="1"/>
      <c r="B121" s="1"/>
      <c r="C121" s="2"/>
      <c r="D121" s="2"/>
      <c r="E121" s="2"/>
      <c r="F121" s="2"/>
      <c r="G121" s="2"/>
      <c r="H121" s="2"/>
      <c r="I121" s="2"/>
      <c r="J121" s="2"/>
      <c r="K121" s="2"/>
      <c r="L121" s="2"/>
      <c r="M121" s="2"/>
      <c r="N121" s="1"/>
      <c r="O121" s="2"/>
      <c r="P121" s="2"/>
      <c r="Q121" s="2"/>
      <c r="R121" s="2"/>
      <c r="S121" s="2"/>
      <c r="T121" s="2"/>
      <c r="U121" s="2"/>
      <c r="V121" s="2"/>
      <c r="W121" s="2"/>
      <c r="X121" s="2"/>
      <c r="Y121" s="2"/>
      <c r="Z121" s="1"/>
      <c r="AA121" s="1"/>
      <c r="AB121" s="1"/>
      <c r="AC121" s="1"/>
      <c r="AD121" s="1"/>
      <c r="AE121" s="1"/>
      <c r="AF121" s="1"/>
      <c r="AG121" s="1"/>
      <c r="AH121" s="1"/>
      <c r="AI121" s="1"/>
      <c r="AJ121" s="1"/>
      <c r="AK121" s="1"/>
    </row>
    <row r="122" ht="30.0" customHeight="1">
      <c r="A122" s="1"/>
      <c r="B122" s="1"/>
      <c r="C122" s="2"/>
      <c r="D122" s="2"/>
      <c r="E122" s="2"/>
      <c r="F122" s="2"/>
      <c r="G122" s="2"/>
      <c r="H122" s="2"/>
      <c r="I122" s="2"/>
      <c r="J122" s="2"/>
      <c r="K122" s="2"/>
      <c r="L122" s="2"/>
      <c r="M122" s="2"/>
      <c r="N122" s="1"/>
      <c r="O122" s="2"/>
      <c r="P122" s="2"/>
      <c r="Q122" s="2"/>
      <c r="R122" s="2"/>
      <c r="S122" s="2"/>
      <c r="T122" s="2"/>
      <c r="U122" s="2"/>
      <c r="V122" s="2"/>
      <c r="W122" s="2"/>
      <c r="X122" s="2"/>
      <c r="Y122" s="2"/>
      <c r="Z122" s="1"/>
      <c r="AA122" s="1"/>
      <c r="AB122" s="1"/>
      <c r="AC122" s="1"/>
      <c r="AD122" s="1"/>
      <c r="AE122" s="1"/>
      <c r="AF122" s="1"/>
      <c r="AG122" s="1"/>
      <c r="AH122" s="1"/>
      <c r="AI122" s="1"/>
      <c r="AJ122" s="1"/>
      <c r="AK122" s="1"/>
    </row>
    <row r="123" ht="30.0" customHeight="1">
      <c r="A123" s="1"/>
      <c r="B123" s="1"/>
      <c r="C123" s="2"/>
      <c r="D123" s="2"/>
      <c r="E123" s="2"/>
      <c r="F123" s="2"/>
      <c r="G123" s="2"/>
      <c r="H123" s="2"/>
      <c r="I123" s="2"/>
      <c r="J123" s="2"/>
      <c r="K123" s="2"/>
      <c r="L123" s="2"/>
      <c r="M123" s="2"/>
      <c r="N123" s="1"/>
      <c r="O123" s="2"/>
      <c r="P123" s="2"/>
      <c r="Q123" s="2"/>
      <c r="R123" s="2"/>
      <c r="S123" s="2"/>
      <c r="T123" s="2"/>
      <c r="U123" s="2"/>
      <c r="V123" s="2"/>
      <c r="W123" s="2"/>
      <c r="X123" s="2"/>
      <c r="Y123" s="2"/>
      <c r="Z123" s="1"/>
      <c r="AA123" s="1"/>
      <c r="AB123" s="1"/>
      <c r="AC123" s="1"/>
      <c r="AD123" s="1"/>
      <c r="AE123" s="1"/>
      <c r="AF123" s="1"/>
      <c r="AG123" s="1"/>
      <c r="AH123" s="1"/>
      <c r="AI123" s="1"/>
      <c r="AJ123" s="1"/>
      <c r="AK123" s="1"/>
    </row>
    <row r="124" ht="30.0" customHeight="1">
      <c r="A124" s="1"/>
      <c r="B124" s="1"/>
      <c r="C124" s="2"/>
      <c r="D124" s="2"/>
      <c r="E124" s="2"/>
      <c r="F124" s="2"/>
      <c r="G124" s="2"/>
      <c r="H124" s="2"/>
      <c r="I124" s="2"/>
      <c r="J124" s="2"/>
      <c r="K124" s="2"/>
      <c r="L124" s="2"/>
      <c r="M124" s="2"/>
      <c r="N124" s="1"/>
      <c r="O124" s="2"/>
      <c r="P124" s="2"/>
      <c r="Q124" s="2"/>
      <c r="R124" s="2"/>
      <c r="S124" s="2"/>
      <c r="T124" s="2"/>
      <c r="U124" s="2"/>
      <c r="V124" s="2"/>
      <c r="W124" s="2"/>
      <c r="X124" s="2"/>
      <c r="Y124" s="2"/>
      <c r="Z124" s="1"/>
      <c r="AA124" s="1"/>
      <c r="AB124" s="1"/>
      <c r="AC124" s="1"/>
      <c r="AD124" s="1"/>
      <c r="AE124" s="1"/>
      <c r="AF124" s="1"/>
      <c r="AG124" s="1"/>
      <c r="AH124" s="1"/>
      <c r="AI124" s="1"/>
      <c r="AJ124" s="1"/>
      <c r="AK124" s="1"/>
    </row>
    <row r="125" ht="30.0" customHeight="1">
      <c r="A125" s="1"/>
      <c r="B125" s="1"/>
      <c r="C125" s="2"/>
      <c r="D125" s="2"/>
      <c r="E125" s="2"/>
      <c r="F125" s="2"/>
      <c r="G125" s="2"/>
      <c r="H125" s="2"/>
      <c r="I125" s="2"/>
      <c r="J125" s="2"/>
      <c r="K125" s="2"/>
      <c r="L125" s="2"/>
      <c r="M125" s="2"/>
      <c r="N125" s="1"/>
      <c r="O125" s="2"/>
      <c r="P125" s="2"/>
      <c r="Q125" s="2"/>
      <c r="R125" s="2"/>
      <c r="S125" s="2"/>
      <c r="T125" s="2"/>
      <c r="U125" s="2"/>
      <c r="V125" s="2"/>
      <c r="W125" s="2"/>
      <c r="X125" s="2"/>
      <c r="Y125" s="2"/>
      <c r="Z125" s="1"/>
      <c r="AA125" s="1"/>
      <c r="AB125" s="1"/>
      <c r="AC125" s="1"/>
      <c r="AD125" s="1"/>
      <c r="AE125" s="1"/>
      <c r="AF125" s="1"/>
      <c r="AG125" s="1"/>
      <c r="AH125" s="1"/>
      <c r="AI125" s="1"/>
      <c r="AJ125" s="1"/>
      <c r="AK125" s="1"/>
    </row>
    <row r="126" ht="30.0" customHeight="1">
      <c r="A126" s="1"/>
      <c r="B126" s="1"/>
      <c r="C126" s="2"/>
      <c r="D126" s="2"/>
      <c r="E126" s="2"/>
      <c r="F126" s="2"/>
      <c r="G126" s="2"/>
      <c r="H126" s="2"/>
      <c r="I126" s="2"/>
      <c r="J126" s="2"/>
      <c r="K126" s="2"/>
      <c r="L126" s="2"/>
      <c r="M126" s="2"/>
      <c r="N126" s="1"/>
      <c r="O126" s="2"/>
      <c r="P126" s="2"/>
      <c r="Q126" s="2"/>
      <c r="R126" s="2"/>
      <c r="S126" s="2"/>
      <c r="T126" s="2"/>
      <c r="U126" s="2"/>
      <c r="V126" s="2"/>
      <c r="W126" s="2"/>
      <c r="X126" s="2"/>
      <c r="Y126" s="2"/>
      <c r="Z126" s="1"/>
      <c r="AA126" s="1"/>
      <c r="AB126" s="1"/>
      <c r="AC126" s="1"/>
      <c r="AD126" s="1"/>
      <c r="AE126" s="1"/>
      <c r="AF126" s="1"/>
      <c r="AG126" s="1"/>
      <c r="AH126" s="1"/>
      <c r="AI126" s="1"/>
      <c r="AJ126" s="1"/>
      <c r="AK126" s="1"/>
    </row>
    <row r="127" ht="30.0" customHeight="1">
      <c r="A127" s="1"/>
      <c r="B127" s="1"/>
      <c r="C127" s="2"/>
      <c r="D127" s="2"/>
      <c r="E127" s="2"/>
      <c r="F127" s="2"/>
      <c r="G127" s="2"/>
      <c r="H127" s="2"/>
      <c r="I127" s="2"/>
      <c r="J127" s="2"/>
      <c r="K127" s="2"/>
      <c r="L127" s="2"/>
      <c r="M127" s="2"/>
      <c r="N127" s="1"/>
      <c r="O127" s="2"/>
      <c r="P127" s="2"/>
      <c r="Q127" s="2"/>
      <c r="R127" s="2"/>
      <c r="S127" s="2"/>
      <c r="T127" s="2"/>
      <c r="U127" s="2"/>
      <c r="V127" s="2"/>
      <c r="W127" s="2"/>
      <c r="X127" s="2"/>
      <c r="Y127" s="2"/>
      <c r="Z127" s="1"/>
      <c r="AA127" s="1"/>
      <c r="AB127" s="1"/>
      <c r="AC127" s="1"/>
      <c r="AD127" s="1"/>
      <c r="AE127" s="1"/>
      <c r="AF127" s="1"/>
      <c r="AG127" s="1"/>
      <c r="AH127" s="1"/>
      <c r="AI127" s="1"/>
      <c r="AJ127" s="1"/>
      <c r="AK127" s="1"/>
    </row>
    <row r="128" ht="30.0" customHeight="1">
      <c r="A128" s="1"/>
      <c r="B128" s="1"/>
      <c r="C128" s="2"/>
      <c r="D128" s="2"/>
      <c r="E128" s="2"/>
      <c r="F128" s="2"/>
      <c r="G128" s="2"/>
      <c r="H128" s="2"/>
      <c r="I128" s="2"/>
      <c r="J128" s="2"/>
      <c r="K128" s="2"/>
      <c r="L128" s="2"/>
      <c r="M128" s="2"/>
      <c r="N128" s="1"/>
      <c r="O128" s="2"/>
      <c r="P128" s="2"/>
      <c r="Q128" s="2"/>
      <c r="R128" s="2"/>
      <c r="S128" s="2"/>
      <c r="T128" s="2"/>
      <c r="U128" s="2"/>
      <c r="V128" s="2"/>
      <c r="W128" s="2"/>
      <c r="X128" s="2"/>
      <c r="Y128" s="2"/>
      <c r="Z128" s="1"/>
      <c r="AA128" s="1"/>
      <c r="AB128" s="1"/>
      <c r="AC128" s="1"/>
      <c r="AD128" s="1"/>
      <c r="AE128" s="1"/>
      <c r="AF128" s="1"/>
      <c r="AG128" s="1"/>
      <c r="AH128" s="1"/>
      <c r="AI128" s="1"/>
      <c r="AJ128" s="1"/>
      <c r="AK128" s="1"/>
    </row>
    <row r="129" ht="30.0" customHeight="1">
      <c r="A129" s="1"/>
      <c r="B129" s="1"/>
      <c r="C129" s="2"/>
      <c r="D129" s="2"/>
      <c r="E129" s="2"/>
      <c r="F129" s="2"/>
      <c r="G129" s="2"/>
      <c r="H129" s="2"/>
      <c r="I129" s="2"/>
      <c r="J129" s="2"/>
      <c r="K129" s="2"/>
      <c r="L129" s="2"/>
      <c r="M129" s="2"/>
      <c r="N129" s="1"/>
      <c r="O129" s="2"/>
      <c r="P129" s="2"/>
      <c r="Q129" s="2"/>
      <c r="R129" s="2"/>
      <c r="S129" s="2"/>
      <c r="T129" s="2"/>
      <c r="U129" s="2"/>
      <c r="V129" s="2"/>
      <c r="W129" s="2"/>
      <c r="X129" s="2"/>
      <c r="Y129" s="2"/>
      <c r="Z129" s="1"/>
      <c r="AA129" s="1"/>
      <c r="AB129" s="1"/>
      <c r="AC129" s="1"/>
      <c r="AD129" s="1"/>
      <c r="AE129" s="1"/>
      <c r="AF129" s="1"/>
      <c r="AG129" s="1"/>
      <c r="AH129" s="1"/>
      <c r="AI129" s="1"/>
      <c r="AJ129" s="1"/>
      <c r="AK129" s="1"/>
    </row>
    <row r="130" ht="30.0" customHeight="1">
      <c r="A130" s="1"/>
      <c r="B130" s="1"/>
      <c r="C130" s="2"/>
      <c r="D130" s="2"/>
      <c r="E130" s="2"/>
      <c r="F130" s="2"/>
      <c r="G130" s="2"/>
      <c r="H130" s="2"/>
      <c r="I130" s="2"/>
      <c r="J130" s="2"/>
      <c r="K130" s="2"/>
      <c r="L130" s="2"/>
      <c r="M130" s="2"/>
      <c r="N130" s="1"/>
      <c r="O130" s="2"/>
      <c r="P130" s="2"/>
      <c r="Q130" s="2"/>
      <c r="R130" s="2"/>
      <c r="S130" s="2"/>
      <c r="T130" s="2"/>
      <c r="U130" s="2"/>
      <c r="V130" s="2"/>
      <c r="W130" s="2"/>
      <c r="X130" s="2"/>
      <c r="Y130" s="2"/>
      <c r="Z130" s="1"/>
      <c r="AA130" s="1"/>
      <c r="AB130" s="1"/>
      <c r="AC130" s="1"/>
      <c r="AD130" s="1"/>
      <c r="AE130" s="1"/>
      <c r="AF130" s="1"/>
      <c r="AG130" s="1"/>
      <c r="AH130" s="1"/>
      <c r="AI130" s="1"/>
      <c r="AJ130" s="1"/>
      <c r="AK130" s="1"/>
    </row>
    <row r="131" ht="30.0" customHeight="1">
      <c r="A131" s="1"/>
      <c r="B131" s="1"/>
      <c r="C131" s="2"/>
      <c r="D131" s="2"/>
      <c r="E131" s="2"/>
      <c r="F131" s="2"/>
      <c r="G131" s="2"/>
      <c r="H131" s="2"/>
      <c r="I131" s="2"/>
      <c r="J131" s="2"/>
      <c r="K131" s="2"/>
      <c r="L131" s="2"/>
      <c r="M131" s="2"/>
      <c r="N131" s="1"/>
      <c r="O131" s="2"/>
      <c r="P131" s="2"/>
      <c r="Q131" s="2"/>
      <c r="R131" s="2"/>
      <c r="S131" s="2"/>
      <c r="T131" s="2"/>
      <c r="U131" s="2"/>
      <c r="V131" s="2"/>
      <c r="W131" s="2"/>
      <c r="X131" s="2"/>
      <c r="Y131" s="2"/>
      <c r="Z131" s="1"/>
      <c r="AA131" s="1"/>
      <c r="AB131" s="1"/>
      <c r="AC131" s="1"/>
      <c r="AD131" s="1"/>
      <c r="AE131" s="1"/>
      <c r="AF131" s="1"/>
      <c r="AG131" s="1"/>
      <c r="AH131" s="1"/>
      <c r="AI131" s="1"/>
      <c r="AJ131" s="1"/>
      <c r="AK131" s="1"/>
    </row>
    <row r="132" ht="30.0" customHeight="1">
      <c r="A132" s="1"/>
      <c r="B132" s="1"/>
      <c r="C132" s="2"/>
      <c r="D132" s="2"/>
      <c r="E132" s="2"/>
      <c r="F132" s="2"/>
      <c r="G132" s="2"/>
      <c r="H132" s="2"/>
      <c r="I132" s="2"/>
      <c r="J132" s="2"/>
      <c r="K132" s="2"/>
      <c r="L132" s="2"/>
      <c r="M132" s="2"/>
      <c r="N132" s="1"/>
      <c r="O132" s="2"/>
      <c r="P132" s="2"/>
      <c r="Q132" s="2"/>
      <c r="R132" s="2"/>
      <c r="S132" s="2"/>
      <c r="T132" s="2"/>
      <c r="U132" s="2"/>
      <c r="V132" s="2"/>
      <c r="W132" s="2"/>
      <c r="X132" s="2"/>
      <c r="Y132" s="2"/>
      <c r="Z132" s="1"/>
      <c r="AA132" s="1"/>
      <c r="AB132" s="1"/>
      <c r="AC132" s="1"/>
      <c r="AD132" s="1"/>
      <c r="AE132" s="1"/>
      <c r="AF132" s="1"/>
      <c r="AG132" s="1"/>
      <c r="AH132" s="1"/>
      <c r="AI132" s="1"/>
      <c r="AJ132" s="1"/>
      <c r="AK132" s="1"/>
    </row>
    <row r="133" ht="30.0" customHeight="1">
      <c r="A133" s="1"/>
      <c r="B133" s="1"/>
      <c r="C133" s="2"/>
      <c r="D133" s="2"/>
      <c r="E133" s="2"/>
      <c r="F133" s="2"/>
      <c r="G133" s="2"/>
      <c r="H133" s="2"/>
      <c r="I133" s="2"/>
      <c r="J133" s="2"/>
      <c r="K133" s="2"/>
      <c r="L133" s="2"/>
      <c r="M133" s="2"/>
      <c r="N133" s="1"/>
      <c r="O133" s="2"/>
      <c r="P133" s="2"/>
      <c r="Q133" s="2"/>
      <c r="R133" s="2"/>
      <c r="S133" s="2"/>
      <c r="T133" s="2"/>
      <c r="U133" s="2"/>
      <c r="V133" s="2"/>
      <c r="W133" s="2"/>
      <c r="X133" s="2"/>
      <c r="Y133" s="2"/>
      <c r="Z133" s="1"/>
      <c r="AA133" s="1"/>
      <c r="AB133" s="1"/>
      <c r="AC133" s="1"/>
      <c r="AD133" s="1"/>
      <c r="AE133" s="1"/>
      <c r="AF133" s="1"/>
      <c r="AG133" s="1"/>
      <c r="AH133" s="1"/>
      <c r="AI133" s="1"/>
      <c r="AJ133" s="1"/>
      <c r="AK133" s="1"/>
    </row>
    <row r="134" ht="30.0" customHeight="1">
      <c r="A134" s="1"/>
      <c r="B134" s="1"/>
      <c r="C134" s="2"/>
      <c r="D134" s="2"/>
      <c r="E134" s="2"/>
      <c r="F134" s="2"/>
      <c r="G134" s="2"/>
      <c r="H134" s="2"/>
      <c r="I134" s="2"/>
      <c r="J134" s="2"/>
      <c r="K134" s="2"/>
      <c r="L134" s="2"/>
      <c r="M134" s="2"/>
      <c r="N134" s="1"/>
      <c r="O134" s="2"/>
      <c r="P134" s="2"/>
      <c r="Q134" s="2"/>
      <c r="R134" s="2"/>
      <c r="S134" s="2"/>
      <c r="T134" s="2"/>
      <c r="U134" s="2"/>
      <c r="V134" s="2"/>
      <c r="W134" s="2"/>
      <c r="X134" s="2"/>
      <c r="Y134" s="2"/>
      <c r="Z134" s="1"/>
      <c r="AA134" s="1"/>
      <c r="AB134" s="1"/>
      <c r="AC134" s="1"/>
      <c r="AD134" s="1"/>
      <c r="AE134" s="1"/>
      <c r="AF134" s="1"/>
      <c r="AG134" s="1"/>
      <c r="AH134" s="1"/>
      <c r="AI134" s="1"/>
      <c r="AJ134" s="1"/>
      <c r="AK134" s="1"/>
    </row>
    <row r="135" ht="30.0" customHeight="1">
      <c r="A135" s="1"/>
      <c r="B135" s="1"/>
      <c r="C135" s="2"/>
      <c r="D135" s="2"/>
      <c r="E135" s="2"/>
      <c r="F135" s="2"/>
      <c r="G135" s="2"/>
      <c r="H135" s="2"/>
      <c r="I135" s="2"/>
      <c r="J135" s="2"/>
      <c r="K135" s="2"/>
      <c r="L135" s="2"/>
      <c r="M135" s="2"/>
      <c r="N135" s="1"/>
      <c r="O135" s="2"/>
      <c r="P135" s="2"/>
      <c r="Q135" s="2"/>
      <c r="R135" s="2"/>
      <c r="S135" s="2"/>
      <c r="T135" s="2"/>
      <c r="U135" s="2"/>
      <c r="V135" s="2"/>
      <c r="W135" s="2"/>
      <c r="X135" s="2"/>
      <c r="Y135" s="2"/>
      <c r="Z135" s="1"/>
      <c r="AA135" s="1"/>
      <c r="AB135" s="1"/>
      <c r="AC135" s="1"/>
      <c r="AD135" s="1"/>
      <c r="AE135" s="1"/>
      <c r="AF135" s="1"/>
      <c r="AG135" s="1"/>
      <c r="AH135" s="1"/>
      <c r="AI135" s="1"/>
      <c r="AJ135" s="1"/>
      <c r="AK135" s="1"/>
    </row>
    <row r="136" ht="30.0" customHeight="1">
      <c r="A136" s="1"/>
      <c r="B136" s="1"/>
      <c r="C136" s="2"/>
      <c r="D136" s="2"/>
      <c r="E136" s="2"/>
      <c r="F136" s="2"/>
      <c r="G136" s="2"/>
      <c r="H136" s="2"/>
      <c r="I136" s="2"/>
      <c r="J136" s="2"/>
      <c r="K136" s="2"/>
      <c r="L136" s="2"/>
      <c r="M136" s="2"/>
      <c r="N136" s="1"/>
      <c r="O136" s="2"/>
      <c r="P136" s="2"/>
      <c r="Q136" s="2"/>
      <c r="R136" s="2"/>
      <c r="S136" s="2"/>
      <c r="T136" s="2"/>
      <c r="U136" s="2"/>
      <c r="V136" s="2"/>
      <c r="W136" s="2"/>
      <c r="X136" s="2"/>
      <c r="Y136" s="2"/>
      <c r="Z136" s="1"/>
      <c r="AA136" s="1"/>
      <c r="AB136" s="1"/>
      <c r="AC136" s="1"/>
      <c r="AD136" s="1"/>
      <c r="AE136" s="1"/>
      <c r="AF136" s="1"/>
      <c r="AG136" s="1"/>
      <c r="AH136" s="1"/>
      <c r="AI136" s="1"/>
      <c r="AJ136" s="1"/>
      <c r="AK136" s="1"/>
    </row>
    <row r="137" ht="30.0" customHeight="1">
      <c r="A137" s="1"/>
      <c r="B137" s="1"/>
      <c r="C137" s="2"/>
      <c r="D137" s="2"/>
      <c r="E137" s="2"/>
      <c r="F137" s="2"/>
      <c r="G137" s="2"/>
      <c r="H137" s="2"/>
      <c r="I137" s="2"/>
      <c r="J137" s="2"/>
      <c r="K137" s="2"/>
      <c r="L137" s="2"/>
      <c r="M137" s="2"/>
      <c r="N137" s="1"/>
      <c r="O137" s="2"/>
      <c r="P137" s="2"/>
      <c r="Q137" s="2"/>
      <c r="R137" s="2"/>
      <c r="S137" s="2"/>
      <c r="T137" s="2"/>
      <c r="U137" s="2"/>
      <c r="V137" s="2"/>
      <c r="W137" s="2"/>
      <c r="X137" s="2"/>
      <c r="Y137" s="2"/>
      <c r="Z137" s="1"/>
      <c r="AA137" s="1"/>
      <c r="AB137" s="1"/>
      <c r="AC137" s="1"/>
      <c r="AD137" s="1"/>
      <c r="AE137" s="1"/>
      <c r="AF137" s="1"/>
      <c r="AG137" s="1"/>
      <c r="AH137" s="1"/>
      <c r="AI137" s="1"/>
      <c r="AJ137" s="1"/>
      <c r="AK137" s="1"/>
    </row>
    <row r="138" ht="30.0" customHeight="1">
      <c r="A138" s="1"/>
      <c r="B138" s="1"/>
      <c r="C138" s="2"/>
      <c r="D138" s="2"/>
      <c r="E138" s="2"/>
      <c r="F138" s="2"/>
      <c r="G138" s="2"/>
      <c r="H138" s="2"/>
      <c r="I138" s="2"/>
      <c r="J138" s="2"/>
      <c r="K138" s="2"/>
      <c r="L138" s="2"/>
      <c r="M138" s="2"/>
      <c r="N138" s="1"/>
      <c r="O138" s="2"/>
      <c r="P138" s="2"/>
      <c r="Q138" s="2"/>
      <c r="R138" s="2"/>
      <c r="S138" s="2"/>
      <c r="T138" s="2"/>
      <c r="U138" s="2"/>
      <c r="V138" s="2"/>
      <c r="W138" s="2"/>
      <c r="X138" s="2"/>
      <c r="Y138" s="2"/>
      <c r="Z138" s="1"/>
      <c r="AA138" s="1"/>
      <c r="AB138" s="1"/>
      <c r="AC138" s="1"/>
      <c r="AD138" s="1"/>
      <c r="AE138" s="1"/>
      <c r="AF138" s="1"/>
      <c r="AG138" s="1"/>
      <c r="AH138" s="1"/>
      <c r="AI138" s="1"/>
      <c r="AJ138" s="1"/>
      <c r="AK138" s="1"/>
    </row>
    <row r="139" ht="30.0" customHeight="1">
      <c r="A139" s="1"/>
      <c r="B139" s="1"/>
      <c r="C139" s="2"/>
      <c r="D139" s="2"/>
      <c r="E139" s="2"/>
      <c r="F139" s="2"/>
      <c r="G139" s="2"/>
      <c r="H139" s="2"/>
      <c r="I139" s="2"/>
      <c r="J139" s="2"/>
      <c r="K139" s="2"/>
      <c r="L139" s="2"/>
      <c r="M139" s="2"/>
      <c r="N139" s="1"/>
      <c r="O139" s="2"/>
      <c r="P139" s="2"/>
      <c r="Q139" s="2"/>
      <c r="R139" s="2"/>
      <c r="S139" s="2"/>
      <c r="T139" s="2"/>
      <c r="U139" s="2"/>
      <c r="V139" s="2"/>
      <c r="W139" s="2"/>
      <c r="X139" s="2"/>
      <c r="Y139" s="2"/>
      <c r="Z139" s="1"/>
      <c r="AA139" s="1"/>
      <c r="AB139" s="1"/>
      <c r="AC139" s="1"/>
      <c r="AD139" s="1"/>
      <c r="AE139" s="1"/>
      <c r="AF139" s="1"/>
      <c r="AG139" s="1"/>
      <c r="AH139" s="1"/>
      <c r="AI139" s="1"/>
      <c r="AJ139" s="1"/>
      <c r="AK139" s="1"/>
    </row>
    <row r="140" ht="30.0" customHeight="1">
      <c r="A140" s="1"/>
      <c r="B140" s="1"/>
      <c r="C140" s="2"/>
      <c r="D140" s="2"/>
      <c r="E140" s="2"/>
      <c r="F140" s="2"/>
      <c r="G140" s="2"/>
      <c r="H140" s="2"/>
      <c r="I140" s="2"/>
      <c r="J140" s="2"/>
      <c r="K140" s="2"/>
      <c r="L140" s="2"/>
      <c r="M140" s="2"/>
      <c r="N140" s="1"/>
      <c r="O140" s="2"/>
      <c r="P140" s="2"/>
      <c r="Q140" s="2"/>
      <c r="R140" s="2"/>
      <c r="S140" s="2"/>
      <c r="T140" s="2"/>
      <c r="U140" s="2"/>
      <c r="V140" s="2"/>
      <c r="W140" s="2"/>
      <c r="X140" s="2"/>
      <c r="Y140" s="2"/>
      <c r="Z140" s="1"/>
      <c r="AA140" s="1"/>
      <c r="AB140" s="1"/>
      <c r="AC140" s="1"/>
      <c r="AD140" s="1"/>
      <c r="AE140" s="1"/>
      <c r="AF140" s="1"/>
      <c r="AG140" s="1"/>
      <c r="AH140" s="1"/>
      <c r="AI140" s="1"/>
      <c r="AJ140" s="1"/>
      <c r="AK140" s="1"/>
    </row>
    <row r="141" ht="30.0" customHeight="1">
      <c r="A141" s="1"/>
      <c r="B141" s="1"/>
      <c r="C141" s="2"/>
      <c r="D141" s="2"/>
      <c r="E141" s="2"/>
      <c r="F141" s="2"/>
      <c r="G141" s="2"/>
      <c r="H141" s="2"/>
      <c r="I141" s="2"/>
      <c r="J141" s="2"/>
      <c r="K141" s="2"/>
      <c r="L141" s="2"/>
      <c r="M141" s="2"/>
      <c r="N141" s="1"/>
      <c r="O141" s="2"/>
      <c r="P141" s="2"/>
      <c r="Q141" s="2"/>
      <c r="R141" s="2"/>
      <c r="S141" s="2"/>
      <c r="T141" s="2"/>
      <c r="U141" s="2"/>
      <c r="V141" s="2"/>
      <c r="W141" s="2"/>
      <c r="X141" s="2"/>
      <c r="Y141" s="2"/>
      <c r="Z141" s="1"/>
      <c r="AA141" s="1"/>
      <c r="AB141" s="1"/>
      <c r="AC141" s="1"/>
      <c r="AD141" s="1"/>
      <c r="AE141" s="1"/>
      <c r="AF141" s="1"/>
      <c r="AG141" s="1"/>
      <c r="AH141" s="1"/>
      <c r="AI141" s="1"/>
      <c r="AJ141" s="1"/>
      <c r="AK141" s="1"/>
    </row>
    <row r="142" ht="30.0" customHeight="1">
      <c r="A142" s="1"/>
      <c r="B142" s="1"/>
      <c r="C142" s="2"/>
      <c r="D142" s="2"/>
      <c r="E142" s="2"/>
      <c r="F142" s="2"/>
      <c r="G142" s="2"/>
      <c r="H142" s="2"/>
      <c r="I142" s="2"/>
      <c r="J142" s="2"/>
      <c r="K142" s="2"/>
      <c r="L142" s="2"/>
      <c r="M142" s="2"/>
      <c r="N142" s="1"/>
      <c r="O142" s="2"/>
      <c r="P142" s="2"/>
      <c r="Q142" s="2"/>
      <c r="R142" s="2"/>
      <c r="S142" s="2"/>
      <c r="T142" s="2"/>
      <c r="U142" s="2"/>
      <c r="V142" s="2"/>
      <c r="W142" s="2"/>
      <c r="X142" s="2"/>
      <c r="Y142" s="2"/>
      <c r="Z142" s="1"/>
      <c r="AA142" s="1"/>
      <c r="AB142" s="1"/>
      <c r="AC142" s="1"/>
      <c r="AD142" s="1"/>
      <c r="AE142" s="1"/>
      <c r="AF142" s="1"/>
      <c r="AG142" s="1"/>
      <c r="AH142" s="1"/>
      <c r="AI142" s="1"/>
      <c r="AJ142" s="1"/>
      <c r="AK142" s="1"/>
    </row>
    <row r="143" ht="30.0" customHeight="1">
      <c r="A143" s="1"/>
      <c r="B143" s="1"/>
      <c r="C143" s="2"/>
      <c r="D143" s="2"/>
      <c r="E143" s="2"/>
      <c r="F143" s="2"/>
      <c r="G143" s="2"/>
      <c r="H143" s="2"/>
      <c r="I143" s="2"/>
      <c r="J143" s="2"/>
      <c r="K143" s="2"/>
      <c r="L143" s="2"/>
      <c r="M143" s="2"/>
      <c r="N143" s="1"/>
      <c r="O143" s="2"/>
      <c r="P143" s="2"/>
      <c r="Q143" s="2"/>
      <c r="R143" s="2"/>
      <c r="S143" s="2"/>
      <c r="T143" s="2"/>
      <c r="U143" s="2"/>
      <c r="V143" s="2"/>
      <c r="W143" s="2"/>
      <c r="X143" s="2"/>
      <c r="Y143" s="2"/>
      <c r="Z143" s="1"/>
      <c r="AA143" s="1"/>
      <c r="AB143" s="1"/>
      <c r="AC143" s="1"/>
      <c r="AD143" s="1"/>
      <c r="AE143" s="1"/>
      <c r="AF143" s="1"/>
      <c r="AG143" s="1"/>
      <c r="AH143" s="1"/>
      <c r="AI143" s="1"/>
      <c r="AJ143" s="1"/>
      <c r="AK143" s="1"/>
    </row>
    <row r="144" ht="30.0" customHeight="1">
      <c r="A144" s="1"/>
      <c r="B144" s="1"/>
      <c r="C144" s="2"/>
      <c r="D144" s="2"/>
      <c r="E144" s="2"/>
      <c r="F144" s="2"/>
      <c r="G144" s="2"/>
      <c r="H144" s="2"/>
      <c r="I144" s="2"/>
      <c r="J144" s="2"/>
      <c r="K144" s="2"/>
      <c r="L144" s="2"/>
      <c r="M144" s="2"/>
      <c r="N144" s="1"/>
      <c r="O144" s="2"/>
      <c r="P144" s="2"/>
      <c r="Q144" s="2"/>
      <c r="R144" s="2"/>
      <c r="S144" s="2"/>
      <c r="T144" s="2"/>
      <c r="U144" s="2"/>
      <c r="V144" s="2"/>
      <c r="W144" s="2"/>
      <c r="X144" s="2"/>
      <c r="Y144" s="2"/>
      <c r="Z144" s="1"/>
      <c r="AA144" s="1"/>
      <c r="AB144" s="1"/>
      <c r="AC144" s="1"/>
      <c r="AD144" s="1"/>
      <c r="AE144" s="1"/>
      <c r="AF144" s="1"/>
      <c r="AG144" s="1"/>
      <c r="AH144" s="1"/>
      <c r="AI144" s="1"/>
      <c r="AJ144" s="1"/>
      <c r="AK144" s="1"/>
    </row>
    <row r="145" ht="30.0" customHeight="1">
      <c r="A145" s="1"/>
      <c r="B145" s="1"/>
      <c r="C145" s="2"/>
      <c r="D145" s="2"/>
      <c r="E145" s="2"/>
      <c r="F145" s="2"/>
      <c r="G145" s="2"/>
      <c r="H145" s="2"/>
      <c r="I145" s="2"/>
      <c r="J145" s="2"/>
      <c r="K145" s="2"/>
      <c r="L145" s="2"/>
      <c r="M145" s="2"/>
      <c r="N145" s="1"/>
      <c r="O145" s="2"/>
      <c r="P145" s="2"/>
      <c r="Q145" s="2"/>
      <c r="R145" s="2"/>
      <c r="S145" s="2"/>
      <c r="T145" s="2"/>
      <c r="U145" s="2"/>
      <c r="V145" s="2"/>
      <c r="W145" s="2"/>
      <c r="X145" s="2"/>
      <c r="Y145" s="2"/>
      <c r="Z145" s="1"/>
      <c r="AA145" s="1"/>
      <c r="AB145" s="1"/>
      <c r="AC145" s="1"/>
      <c r="AD145" s="1"/>
      <c r="AE145" s="1"/>
      <c r="AF145" s="1"/>
      <c r="AG145" s="1"/>
      <c r="AH145" s="1"/>
      <c r="AI145" s="1"/>
      <c r="AJ145" s="1"/>
      <c r="AK145" s="1"/>
    </row>
    <row r="146" ht="30.0" customHeight="1">
      <c r="A146" s="1"/>
      <c r="B146" s="1"/>
      <c r="C146" s="2"/>
      <c r="D146" s="2"/>
      <c r="E146" s="2"/>
      <c r="F146" s="2"/>
      <c r="G146" s="2"/>
      <c r="H146" s="2"/>
      <c r="I146" s="2"/>
      <c r="J146" s="2"/>
      <c r="K146" s="2"/>
      <c r="L146" s="2"/>
      <c r="M146" s="2"/>
      <c r="N146" s="1"/>
      <c r="O146" s="2"/>
      <c r="P146" s="2"/>
      <c r="Q146" s="2"/>
      <c r="R146" s="2"/>
      <c r="S146" s="2"/>
      <c r="T146" s="2"/>
      <c r="U146" s="2"/>
      <c r="V146" s="2"/>
      <c r="W146" s="2"/>
      <c r="X146" s="2"/>
      <c r="Y146" s="2"/>
      <c r="Z146" s="1"/>
      <c r="AA146" s="1"/>
      <c r="AB146" s="1"/>
      <c r="AC146" s="1"/>
      <c r="AD146" s="1"/>
      <c r="AE146" s="1"/>
      <c r="AF146" s="1"/>
      <c r="AG146" s="1"/>
      <c r="AH146" s="1"/>
      <c r="AI146" s="1"/>
      <c r="AJ146" s="1"/>
      <c r="AK146" s="1"/>
    </row>
    <row r="147" ht="30.0" customHeight="1">
      <c r="A147" s="1"/>
      <c r="B147" s="1"/>
      <c r="C147" s="2"/>
      <c r="D147" s="2"/>
      <c r="E147" s="2"/>
      <c r="F147" s="2"/>
      <c r="G147" s="2"/>
      <c r="H147" s="2"/>
      <c r="I147" s="2"/>
      <c r="J147" s="2"/>
      <c r="K147" s="2"/>
      <c r="L147" s="2"/>
      <c r="M147" s="2"/>
      <c r="N147" s="1"/>
      <c r="O147" s="2"/>
      <c r="P147" s="2"/>
      <c r="Q147" s="2"/>
      <c r="R147" s="2"/>
      <c r="S147" s="2"/>
      <c r="T147" s="2"/>
      <c r="U147" s="2"/>
      <c r="V147" s="2"/>
      <c r="W147" s="2"/>
      <c r="X147" s="2"/>
      <c r="Y147" s="2"/>
      <c r="Z147" s="1"/>
      <c r="AA147" s="1"/>
      <c r="AB147" s="1"/>
      <c r="AC147" s="1"/>
      <c r="AD147" s="1"/>
      <c r="AE147" s="1"/>
      <c r="AF147" s="1"/>
      <c r="AG147" s="1"/>
      <c r="AH147" s="1"/>
      <c r="AI147" s="1"/>
      <c r="AJ147" s="1"/>
      <c r="AK147" s="1"/>
    </row>
    <row r="148" ht="30.0" customHeight="1">
      <c r="A148" s="1"/>
      <c r="B148" s="1"/>
      <c r="C148" s="2"/>
      <c r="D148" s="2"/>
      <c r="E148" s="2"/>
      <c r="F148" s="2"/>
      <c r="G148" s="2"/>
      <c r="H148" s="2"/>
      <c r="I148" s="2"/>
      <c r="J148" s="2"/>
      <c r="K148" s="2"/>
      <c r="L148" s="2"/>
      <c r="M148" s="2"/>
      <c r="N148" s="1"/>
      <c r="O148" s="2"/>
      <c r="P148" s="2"/>
      <c r="Q148" s="2"/>
      <c r="R148" s="2"/>
      <c r="S148" s="2"/>
      <c r="T148" s="2"/>
      <c r="U148" s="2"/>
      <c r="V148" s="2"/>
      <c r="W148" s="2"/>
      <c r="X148" s="2"/>
      <c r="Y148" s="2"/>
      <c r="Z148" s="1"/>
      <c r="AA148" s="1"/>
      <c r="AB148" s="1"/>
      <c r="AC148" s="1"/>
      <c r="AD148" s="1"/>
      <c r="AE148" s="1"/>
      <c r="AF148" s="1"/>
      <c r="AG148" s="1"/>
      <c r="AH148" s="1"/>
      <c r="AI148" s="1"/>
      <c r="AJ148" s="1"/>
      <c r="AK148" s="1"/>
    </row>
    <row r="149" ht="30.0" customHeight="1">
      <c r="A149" s="1"/>
      <c r="B149" s="1"/>
      <c r="C149" s="2"/>
      <c r="D149" s="2"/>
      <c r="E149" s="2"/>
      <c r="F149" s="2"/>
      <c r="G149" s="2"/>
      <c r="H149" s="2"/>
      <c r="I149" s="2"/>
      <c r="J149" s="2"/>
      <c r="K149" s="2"/>
      <c r="L149" s="2"/>
      <c r="M149" s="2"/>
      <c r="N149" s="1"/>
      <c r="O149" s="2"/>
      <c r="P149" s="2"/>
      <c r="Q149" s="2"/>
      <c r="R149" s="2"/>
      <c r="S149" s="2"/>
      <c r="T149" s="2"/>
      <c r="U149" s="2"/>
      <c r="V149" s="2"/>
      <c r="W149" s="2"/>
      <c r="X149" s="2"/>
      <c r="Y149" s="2"/>
      <c r="Z149" s="1"/>
      <c r="AA149" s="1"/>
      <c r="AB149" s="1"/>
      <c r="AC149" s="1"/>
      <c r="AD149" s="1"/>
      <c r="AE149" s="1"/>
      <c r="AF149" s="1"/>
      <c r="AG149" s="1"/>
      <c r="AH149" s="1"/>
      <c r="AI149" s="1"/>
      <c r="AJ149" s="1"/>
      <c r="AK149" s="1"/>
    </row>
    <row r="150" ht="30.0" customHeight="1">
      <c r="A150" s="1"/>
      <c r="B150" s="1"/>
      <c r="C150" s="2"/>
      <c r="D150" s="2"/>
      <c r="E150" s="2"/>
      <c r="F150" s="2"/>
      <c r="G150" s="2"/>
      <c r="H150" s="2"/>
      <c r="I150" s="2"/>
      <c r="J150" s="2"/>
      <c r="K150" s="2"/>
      <c r="L150" s="2"/>
      <c r="M150" s="2"/>
      <c r="N150" s="1"/>
      <c r="O150" s="2"/>
      <c r="P150" s="2"/>
      <c r="Q150" s="2"/>
      <c r="R150" s="2"/>
      <c r="S150" s="2"/>
      <c r="T150" s="2"/>
      <c r="U150" s="2"/>
      <c r="V150" s="2"/>
      <c r="W150" s="2"/>
      <c r="X150" s="2"/>
      <c r="Y150" s="2"/>
      <c r="Z150" s="1"/>
      <c r="AA150" s="1"/>
      <c r="AB150" s="1"/>
      <c r="AC150" s="1"/>
      <c r="AD150" s="1"/>
      <c r="AE150" s="1"/>
      <c r="AF150" s="1"/>
      <c r="AG150" s="1"/>
      <c r="AH150" s="1"/>
      <c r="AI150" s="1"/>
      <c r="AJ150" s="1"/>
      <c r="AK150" s="1"/>
    </row>
    <row r="151" ht="30.0" customHeight="1">
      <c r="A151" s="1"/>
      <c r="B151" s="1"/>
      <c r="C151" s="2"/>
      <c r="D151" s="2"/>
      <c r="E151" s="2"/>
      <c r="F151" s="2"/>
      <c r="G151" s="2"/>
      <c r="H151" s="2"/>
      <c r="I151" s="2"/>
      <c r="J151" s="2"/>
      <c r="K151" s="2"/>
      <c r="L151" s="2"/>
      <c r="M151" s="2"/>
      <c r="N151" s="1"/>
      <c r="O151" s="2"/>
      <c r="P151" s="2"/>
      <c r="Q151" s="2"/>
      <c r="R151" s="2"/>
      <c r="S151" s="2"/>
      <c r="T151" s="2"/>
      <c r="U151" s="2"/>
      <c r="V151" s="2"/>
      <c r="W151" s="2"/>
      <c r="X151" s="2"/>
      <c r="Y151" s="2"/>
      <c r="Z151" s="1"/>
      <c r="AA151" s="1"/>
      <c r="AB151" s="1"/>
      <c r="AC151" s="1"/>
      <c r="AD151" s="1"/>
      <c r="AE151" s="1"/>
      <c r="AF151" s="1"/>
      <c r="AG151" s="1"/>
      <c r="AH151" s="1"/>
      <c r="AI151" s="1"/>
      <c r="AJ151" s="1"/>
      <c r="AK151" s="1"/>
    </row>
    <row r="152" ht="30.0" customHeight="1">
      <c r="A152" s="1"/>
      <c r="B152" s="1"/>
      <c r="C152" s="2"/>
      <c r="D152" s="2"/>
      <c r="E152" s="2"/>
      <c r="F152" s="2"/>
      <c r="G152" s="2"/>
      <c r="H152" s="2"/>
      <c r="I152" s="2"/>
      <c r="J152" s="2"/>
      <c r="K152" s="2"/>
      <c r="L152" s="2"/>
      <c r="M152" s="2"/>
      <c r="N152" s="1"/>
      <c r="O152" s="2"/>
      <c r="P152" s="2"/>
      <c r="Q152" s="2"/>
      <c r="R152" s="2"/>
      <c r="S152" s="2"/>
      <c r="T152" s="2"/>
      <c r="U152" s="2"/>
      <c r="V152" s="2"/>
      <c r="W152" s="2"/>
      <c r="X152" s="2"/>
      <c r="Y152" s="2"/>
      <c r="Z152" s="1"/>
      <c r="AA152" s="1"/>
      <c r="AB152" s="1"/>
      <c r="AC152" s="1"/>
      <c r="AD152" s="1"/>
      <c r="AE152" s="1"/>
      <c r="AF152" s="1"/>
      <c r="AG152" s="1"/>
      <c r="AH152" s="1"/>
      <c r="AI152" s="1"/>
      <c r="AJ152" s="1"/>
      <c r="AK152" s="1"/>
    </row>
    <row r="153" ht="30.0" customHeight="1">
      <c r="A153" s="1"/>
      <c r="B153" s="1"/>
      <c r="C153" s="2"/>
      <c r="D153" s="2"/>
      <c r="E153" s="2"/>
      <c r="F153" s="2"/>
      <c r="G153" s="2"/>
      <c r="H153" s="2"/>
      <c r="I153" s="2"/>
      <c r="J153" s="2"/>
      <c r="K153" s="2"/>
      <c r="L153" s="2"/>
      <c r="M153" s="2"/>
      <c r="N153" s="1"/>
      <c r="O153" s="2"/>
      <c r="P153" s="2"/>
      <c r="Q153" s="2"/>
      <c r="R153" s="2"/>
      <c r="S153" s="2"/>
      <c r="T153" s="2"/>
      <c r="U153" s="2"/>
      <c r="V153" s="2"/>
      <c r="W153" s="2"/>
      <c r="X153" s="2"/>
      <c r="Y153" s="2"/>
      <c r="Z153" s="1"/>
      <c r="AA153" s="1"/>
      <c r="AB153" s="1"/>
      <c r="AC153" s="1"/>
      <c r="AD153" s="1"/>
      <c r="AE153" s="1"/>
      <c r="AF153" s="1"/>
      <c r="AG153" s="1"/>
      <c r="AH153" s="1"/>
      <c r="AI153" s="1"/>
      <c r="AJ153" s="1"/>
      <c r="AK153" s="1"/>
    </row>
    <row r="154" ht="30.0" customHeight="1">
      <c r="A154" s="1"/>
      <c r="B154" s="1"/>
      <c r="C154" s="2"/>
      <c r="D154" s="2"/>
      <c r="E154" s="2"/>
      <c r="F154" s="2"/>
      <c r="G154" s="2"/>
      <c r="H154" s="2"/>
      <c r="I154" s="2"/>
      <c r="J154" s="2"/>
      <c r="K154" s="2"/>
      <c r="L154" s="2"/>
      <c r="M154" s="2"/>
      <c r="N154" s="1"/>
      <c r="O154" s="2"/>
      <c r="P154" s="2"/>
      <c r="Q154" s="2"/>
      <c r="R154" s="2"/>
      <c r="S154" s="2"/>
      <c r="T154" s="2"/>
      <c r="U154" s="2"/>
      <c r="V154" s="2"/>
      <c r="W154" s="2"/>
      <c r="X154" s="2"/>
      <c r="Y154" s="2"/>
      <c r="Z154" s="1"/>
      <c r="AA154" s="1"/>
      <c r="AB154" s="1"/>
      <c r="AC154" s="1"/>
      <c r="AD154" s="1"/>
      <c r="AE154" s="1"/>
      <c r="AF154" s="1"/>
      <c r="AG154" s="1"/>
      <c r="AH154" s="1"/>
      <c r="AI154" s="1"/>
      <c r="AJ154" s="1"/>
      <c r="AK154" s="1"/>
    </row>
    <row r="155" ht="30.0" customHeight="1">
      <c r="A155" s="1"/>
      <c r="B155" s="1"/>
      <c r="C155" s="2"/>
      <c r="D155" s="2"/>
      <c r="E155" s="2"/>
      <c r="F155" s="2"/>
      <c r="G155" s="2"/>
      <c r="H155" s="2"/>
      <c r="I155" s="2"/>
      <c r="J155" s="2"/>
      <c r="K155" s="2"/>
      <c r="L155" s="2"/>
      <c r="M155" s="2"/>
      <c r="N155" s="1"/>
      <c r="O155" s="2"/>
      <c r="P155" s="2"/>
      <c r="Q155" s="2"/>
      <c r="R155" s="2"/>
      <c r="S155" s="2"/>
      <c r="T155" s="2"/>
      <c r="U155" s="2"/>
      <c r="V155" s="2"/>
      <c r="W155" s="2"/>
      <c r="X155" s="2"/>
      <c r="Y155" s="2"/>
      <c r="Z155" s="1"/>
      <c r="AA155" s="1"/>
      <c r="AB155" s="1"/>
      <c r="AC155" s="1"/>
      <c r="AD155" s="1"/>
      <c r="AE155" s="1"/>
      <c r="AF155" s="1"/>
      <c r="AG155" s="1"/>
      <c r="AH155" s="1"/>
      <c r="AI155" s="1"/>
      <c r="AJ155" s="1"/>
      <c r="AK155" s="1"/>
    </row>
    <row r="156" ht="30.0" customHeight="1">
      <c r="A156" s="1"/>
      <c r="B156" s="1"/>
      <c r="C156" s="2"/>
      <c r="D156" s="2"/>
      <c r="E156" s="2"/>
      <c r="F156" s="2"/>
      <c r="G156" s="2"/>
      <c r="H156" s="2"/>
      <c r="I156" s="2"/>
      <c r="J156" s="2"/>
      <c r="K156" s="2"/>
      <c r="L156" s="2"/>
      <c r="M156" s="2"/>
      <c r="N156" s="1"/>
      <c r="O156" s="2"/>
      <c r="P156" s="2"/>
      <c r="Q156" s="2"/>
      <c r="R156" s="2"/>
      <c r="S156" s="2"/>
      <c r="T156" s="2"/>
      <c r="U156" s="2"/>
      <c r="V156" s="2"/>
      <c r="W156" s="2"/>
      <c r="X156" s="2"/>
      <c r="Y156" s="2"/>
      <c r="Z156" s="1"/>
      <c r="AA156" s="1"/>
      <c r="AB156" s="1"/>
      <c r="AC156" s="1"/>
      <c r="AD156" s="1"/>
      <c r="AE156" s="1"/>
      <c r="AF156" s="1"/>
      <c r="AG156" s="1"/>
      <c r="AH156" s="1"/>
      <c r="AI156" s="1"/>
      <c r="AJ156" s="1"/>
      <c r="AK156" s="1"/>
    </row>
    <row r="157" ht="30.0" customHeight="1">
      <c r="A157" s="1"/>
      <c r="B157" s="1"/>
      <c r="C157" s="2"/>
      <c r="D157" s="2"/>
      <c r="E157" s="2"/>
      <c r="F157" s="2"/>
      <c r="G157" s="2"/>
      <c r="H157" s="2"/>
      <c r="I157" s="2"/>
      <c r="J157" s="2"/>
      <c r="K157" s="2"/>
      <c r="L157" s="2"/>
      <c r="M157" s="2"/>
      <c r="N157" s="1"/>
      <c r="O157" s="2"/>
      <c r="P157" s="2"/>
      <c r="Q157" s="2"/>
      <c r="R157" s="2"/>
      <c r="S157" s="2"/>
      <c r="T157" s="2"/>
      <c r="U157" s="2"/>
      <c r="V157" s="2"/>
      <c r="W157" s="2"/>
      <c r="X157" s="2"/>
      <c r="Y157" s="2"/>
      <c r="Z157" s="1"/>
      <c r="AA157" s="1"/>
      <c r="AB157" s="1"/>
      <c r="AC157" s="1"/>
      <c r="AD157" s="1"/>
      <c r="AE157" s="1"/>
      <c r="AF157" s="1"/>
      <c r="AG157" s="1"/>
      <c r="AH157" s="1"/>
      <c r="AI157" s="1"/>
      <c r="AJ157" s="1"/>
      <c r="AK157" s="1"/>
    </row>
    <row r="158" ht="30.0" customHeight="1">
      <c r="A158" s="1"/>
      <c r="B158" s="1"/>
      <c r="C158" s="2"/>
      <c r="D158" s="2"/>
      <c r="E158" s="2"/>
      <c r="F158" s="2"/>
      <c r="G158" s="2"/>
      <c r="H158" s="2"/>
      <c r="I158" s="2"/>
      <c r="J158" s="2"/>
      <c r="K158" s="2"/>
      <c r="L158" s="2"/>
      <c r="M158" s="2"/>
      <c r="N158" s="1"/>
      <c r="O158" s="2"/>
      <c r="P158" s="2"/>
      <c r="Q158" s="2"/>
      <c r="R158" s="2"/>
      <c r="S158" s="2"/>
      <c r="T158" s="2"/>
      <c r="U158" s="2"/>
      <c r="V158" s="2"/>
      <c r="W158" s="2"/>
      <c r="X158" s="2"/>
      <c r="Y158" s="2"/>
      <c r="Z158" s="1"/>
      <c r="AA158" s="1"/>
      <c r="AB158" s="1"/>
      <c r="AC158" s="1"/>
      <c r="AD158" s="1"/>
      <c r="AE158" s="1"/>
      <c r="AF158" s="1"/>
      <c r="AG158" s="1"/>
      <c r="AH158" s="1"/>
      <c r="AI158" s="1"/>
      <c r="AJ158" s="1"/>
      <c r="AK158" s="1"/>
    </row>
    <row r="159" ht="30.0" customHeight="1">
      <c r="A159" s="1"/>
      <c r="B159" s="1"/>
      <c r="C159" s="2"/>
      <c r="D159" s="2"/>
      <c r="E159" s="2"/>
      <c r="F159" s="2"/>
      <c r="G159" s="2"/>
      <c r="H159" s="2"/>
      <c r="I159" s="2"/>
      <c r="J159" s="2"/>
      <c r="K159" s="2"/>
      <c r="L159" s="2"/>
      <c r="M159" s="2"/>
      <c r="N159" s="1"/>
      <c r="O159" s="2"/>
      <c r="P159" s="2"/>
      <c r="Q159" s="2"/>
      <c r="R159" s="2"/>
      <c r="S159" s="2"/>
      <c r="T159" s="2"/>
      <c r="U159" s="2"/>
      <c r="V159" s="2"/>
      <c r="W159" s="2"/>
      <c r="X159" s="2"/>
      <c r="Y159" s="2"/>
      <c r="Z159" s="1"/>
      <c r="AA159" s="1"/>
      <c r="AB159" s="1"/>
      <c r="AC159" s="1"/>
      <c r="AD159" s="1"/>
      <c r="AE159" s="1"/>
      <c r="AF159" s="1"/>
      <c r="AG159" s="1"/>
      <c r="AH159" s="1"/>
      <c r="AI159" s="1"/>
      <c r="AJ159" s="1"/>
      <c r="AK159" s="1"/>
    </row>
    <row r="160" ht="30.0" customHeight="1">
      <c r="A160" s="1"/>
      <c r="B160" s="1"/>
      <c r="C160" s="2"/>
      <c r="D160" s="2"/>
      <c r="E160" s="2"/>
      <c r="F160" s="2"/>
      <c r="G160" s="2"/>
      <c r="H160" s="2"/>
      <c r="I160" s="2"/>
      <c r="J160" s="2"/>
      <c r="K160" s="2"/>
      <c r="L160" s="2"/>
      <c r="M160" s="2"/>
      <c r="N160" s="1"/>
      <c r="O160" s="2"/>
      <c r="P160" s="2"/>
      <c r="Q160" s="2"/>
      <c r="R160" s="2"/>
      <c r="S160" s="2"/>
      <c r="T160" s="2"/>
      <c r="U160" s="2"/>
      <c r="V160" s="2"/>
      <c r="W160" s="2"/>
      <c r="X160" s="2"/>
      <c r="Y160" s="2"/>
      <c r="Z160" s="1"/>
      <c r="AA160" s="1"/>
      <c r="AB160" s="1"/>
      <c r="AC160" s="1"/>
      <c r="AD160" s="1"/>
      <c r="AE160" s="1"/>
      <c r="AF160" s="1"/>
      <c r="AG160" s="1"/>
      <c r="AH160" s="1"/>
      <c r="AI160" s="1"/>
      <c r="AJ160" s="1"/>
      <c r="AK160" s="1"/>
    </row>
    <row r="161" ht="30.0" customHeight="1">
      <c r="A161" s="1"/>
      <c r="B161" s="1"/>
      <c r="C161" s="2"/>
      <c r="D161" s="2"/>
      <c r="E161" s="2"/>
      <c r="F161" s="2"/>
      <c r="G161" s="2"/>
      <c r="H161" s="2"/>
      <c r="I161" s="2"/>
      <c r="J161" s="2"/>
      <c r="K161" s="2"/>
      <c r="L161" s="2"/>
      <c r="M161" s="2"/>
      <c r="N161" s="1"/>
      <c r="O161" s="2"/>
      <c r="P161" s="2"/>
      <c r="Q161" s="2"/>
      <c r="R161" s="2"/>
      <c r="S161" s="2"/>
      <c r="T161" s="2"/>
      <c r="U161" s="2"/>
      <c r="V161" s="2"/>
      <c r="W161" s="2"/>
      <c r="X161" s="2"/>
      <c r="Y161" s="2"/>
      <c r="Z161" s="1"/>
      <c r="AA161" s="1"/>
      <c r="AB161" s="1"/>
      <c r="AC161" s="1"/>
      <c r="AD161" s="1"/>
      <c r="AE161" s="1"/>
      <c r="AF161" s="1"/>
      <c r="AG161" s="1"/>
      <c r="AH161" s="1"/>
      <c r="AI161" s="1"/>
      <c r="AJ161" s="1"/>
      <c r="AK161" s="1"/>
    </row>
    <row r="162" ht="30.0" customHeight="1">
      <c r="A162" s="1"/>
      <c r="B162" s="1"/>
      <c r="C162" s="2"/>
      <c r="D162" s="2"/>
      <c r="E162" s="2"/>
      <c r="F162" s="2"/>
      <c r="G162" s="2"/>
      <c r="H162" s="2"/>
      <c r="I162" s="2"/>
      <c r="J162" s="2"/>
      <c r="K162" s="2"/>
      <c r="L162" s="2"/>
      <c r="M162" s="2"/>
      <c r="N162" s="1"/>
      <c r="O162" s="2"/>
      <c r="P162" s="2"/>
      <c r="Q162" s="2"/>
      <c r="R162" s="2"/>
      <c r="S162" s="2"/>
      <c r="T162" s="2"/>
      <c r="U162" s="2"/>
      <c r="V162" s="2"/>
      <c r="W162" s="2"/>
      <c r="X162" s="2"/>
      <c r="Y162" s="2"/>
      <c r="Z162" s="1"/>
      <c r="AA162" s="1"/>
      <c r="AB162" s="1"/>
      <c r="AC162" s="1"/>
      <c r="AD162" s="1"/>
      <c r="AE162" s="1"/>
      <c r="AF162" s="1"/>
      <c r="AG162" s="1"/>
      <c r="AH162" s="1"/>
      <c r="AI162" s="1"/>
      <c r="AJ162" s="1"/>
      <c r="AK162" s="1"/>
    </row>
    <row r="163" ht="30.0" customHeight="1">
      <c r="A163" s="1"/>
      <c r="B163" s="1"/>
      <c r="C163" s="2"/>
      <c r="D163" s="2"/>
      <c r="E163" s="2"/>
      <c r="F163" s="2"/>
      <c r="G163" s="2"/>
      <c r="H163" s="2"/>
      <c r="I163" s="2"/>
      <c r="J163" s="2"/>
      <c r="K163" s="2"/>
      <c r="L163" s="2"/>
      <c r="M163" s="2"/>
      <c r="N163" s="1"/>
      <c r="O163" s="2"/>
      <c r="P163" s="2"/>
      <c r="Q163" s="2"/>
      <c r="R163" s="2"/>
      <c r="S163" s="2"/>
      <c r="T163" s="2"/>
      <c r="U163" s="2"/>
      <c r="V163" s="2"/>
      <c r="W163" s="2"/>
      <c r="X163" s="2"/>
      <c r="Y163" s="2"/>
      <c r="Z163" s="1"/>
      <c r="AA163" s="1"/>
      <c r="AB163" s="1"/>
      <c r="AC163" s="1"/>
      <c r="AD163" s="1"/>
      <c r="AE163" s="1"/>
      <c r="AF163" s="1"/>
      <c r="AG163" s="1"/>
      <c r="AH163" s="1"/>
      <c r="AI163" s="1"/>
      <c r="AJ163" s="1"/>
      <c r="AK163" s="1"/>
    </row>
    <row r="164" ht="30.0" customHeight="1">
      <c r="A164" s="1"/>
      <c r="B164" s="1"/>
      <c r="C164" s="2"/>
      <c r="D164" s="2"/>
      <c r="E164" s="2"/>
      <c r="F164" s="2"/>
      <c r="G164" s="2"/>
      <c r="H164" s="2"/>
      <c r="I164" s="2"/>
      <c r="J164" s="2"/>
      <c r="K164" s="2"/>
      <c r="L164" s="2"/>
      <c r="M164" s="2"/>
      <c r="N164" s="1"/>
      <c r="O164" s="2"/>
      <c r="P164" s="2"/>
      <c r="Q164" s="2"/>
      <c r="R164" s="2"/>
      <c r="S164" s="2"/>
      <c r="T164" s="2"/>
      <c r="U164" s="2"/>
      <c r="V164" s="2"/>
      <c r="W164" s="2"/>
      <c r="X164" s="2"/>
      <c r="Y164" s="2"/>
      <c r="Z164" s="1"/>
      <c r="AA164" s="1"/>
      <c r="AB164" s="1"/>
      <c r="AC164" s="1"/>
      <c r="AD164" s="1"/>
      <c r="AE164" s="1"/>
      <c r="AF164" s="1"/>
      <c r="AG164" s="1"/>
      <c r="AH164" s="1"/>
      <c r="AI164" s="1"/>
      <c r="AJ164" s="1"/>
      <c r="AK164" s="1"/>
    </row>
    <row r="165" ht="30.0" customHeight="1">
      <c r="A165" s="1"/>
      <c r="B165" s="1"/>
      <c r="C165" s="2"/>
      <c r="D165" s="2"/>
      <c r="E165" s="2"/>
      <c r="F165" s="2"/>
      <c r="G165" s="2"/>
      <c r="H165" s="2"/>
      <c r="I165" s="2"/>
      <c r="J165" s="2"/>
      <c r="K165" s="2"/>
      <c r="L165" s="2"/>
      <c r="M165" s="2"/>
      <c r="N165" s="1"/>
      <c r="O165" s="2"/>
      <c r="P165" s="2"/>
      <c r="Q165" s="2"/>
      <c r="R165" s="2"/>
      <c r="S165" s="2"/>
      <c r="T165" s="2"/>
      <c r="U165" s="2"/>
      <c r="V165" s="2"/>
      <c r="W165" s="2"/>
      <c r="X165" s="2"/>
      <c r="Y165" s="2"/>
      <c r="Z165" s="1"/>
      <c r="AA165" s="1"/>
      <c r="AB165" s="1"/>
      <c r="AC165" s="1"/>
      <c r="AD165" s="1"/>
      <c r="AE165" s="1"/>
      <c r="AF165" s="1"/>
      <c r="AG165" s="1"/>
      <c r="AH165" s="1"/>
      <c r="AI165" s="1"/>
      <c r="AJ165" s="1"/>
      <c r="AK165" s="1"/>
    </row>
    <row r="166" ht="30.0" customHeight="1">
      <c r="A166" s="1"/>
      <c r="B166" s="1"/>
      <c r="C166" s="2"/>
      <c r="D166" s="2"/>
      <c r="E166" s="2"/>
      <c r="F166" s="2"/>
      <c r="G166" s="2"/>
      <c r="H166" s="2"/>
      <c r="I166" s="2"/>
      <c r="J166" s="2"/>
      <c r="K166" s="2"/>
      <c r="L166" s="2"/>
      <c r="M166" s="2"/>
      <c r="N166" s="1"/>
      <c r="O166" s="2"/>
      <c r="P166" s="2"/>
      <c r="Q166" s="2"/>
      <c r="R166" s="2"/>
      <c r="S166" s="2"/>
      <c r="T166" s="2"/>
      <c r="U166" s="2"/>
      <c r="V166" s="2"/>
      <c r="W166" s="2"/>
      <c r="X166" s="2"/>
      <c r="Y166" s="2"/>
      <c r="Z166" s="1"/>
      <c r="AA166" s="1"/>
      <c r="AB166" s="1"/>
      <c r="AC166" s="1"/>
      <c r="AD166" s="1"/>
      <c r="AE166" s="1"/>
      <c r="AF166" s="1"/>
      <c r="AG166" s="1"/>
      <c r="AH166" s="1"/>
      <c r="AI166" s="1"/>
      <c r="AJ166" s="1"/>
      <c r="AK166" s="1"/>
    </row>
    <row r="167" ht="30.0" customHeight="1">
      <c r="A167" s="1"/>
      <c r="B167" s="1"/>
      <c r="C167" s="2"/>
      <c r="D167" s="2"/>
      <c r="E167" s="2"/>
      <c r="F167" s="2"/>
      <c r="G167" s="2"/>
      <c r="H167" s="2"/>
      <c r="I167" s="2"/>
      <c r="J167" s="2"/>
      <c r="K167" s="2"/>
      <c r="L167" s="2"/>
      <c r="M167" s="2"/>
      <c r="N167" s="1"/>
      <c r="O167" s="2"/>
      <c r="P167" s="2"/>
      <c r="Q167" s="2"/>
      <c r="R167" s="2"/>
      <c r="S167" s="2"/>
      <c r="T167" s="2"/>
      <c r="U167" s="2"/>
      <c r="V167" s="2"/>
      <c r="W167" s="2"/>
      <c r="X167" s="2"/>
      <c r="Y167" s="2"/>
      <c r="Z167" s="1"/>
      <c r="AA167" s="1"/>
      <c r="AB167" s="1"/>
      <c r="AC167" s="1"/>
      <c r="AD167" s="1"/>
      <c r="AE167" s="1"/>
      <c r="AF167" s="1"/>
      <c r="AG167" s="1"/>
      <c r="AH167" s="1"/>
      <c r="AI167" s="1"/>
      <c r="AJ167" s="1"/>
      <c r="AK167" s="1"/>
    </row>
    <row r="168" ht="30.0" customHeight="1">
      <c r="A168" s="1"/>
      <c r="B168" s="1"/>
      <c r="C168" s="2"/>
      <c r="D168" s="2"/>
      <c r="E168" s="2"/>
      <c r="F168" s="2"/>
      <c r="G168" s="2"/>
      <c r="H168" s="2"/>
      <c r="I168" s="2"/>
      <c r="J168" s="2"/>
      <c r="K168" s="2"/>
      <c r="L168" s="2"/>
      <c r="M168" s="2"/>
      <c r="N168" s="1"/>
      <c r="O168" s="2"/>
      <c r="P168" s="2"/>
      <c r="Q168" s="2"/>
      <c r="R168" s="2"/>
      <c r="S168" s="2"/>
      <c r="T168" s="2"/>
      <c r="U168" s="2"/>
      <c r="V168" s="2"/>
      <c r="W168" s="2"/>
      <c r="X168" s="2"/>
      <c r="Y168" s="2"/>
      <c r="Z168" s="1"/>
      <c r="AA168" s="1"/>
      <c r="AB168" s="1"/>
      <c r="AC168" s="1"/>
      <c r="AD168" s="1"/>
      <c r="AE168" s="1"/>
      <c r="AF168" s="1"/>
      <c r="AG168" s="1"/>
      <c r="AH168" s="1"/>
      <c r="AI168" s="1"/>
      <c r="AJ168" s="1"/>
      <c r="AK168" s="1"/>
    </row>
    <row r="169" ht="30.0" customHeight="1">
      <c r="A169" s="1"/>
      <c r="B169" s="1"/>
      <c r="C169" s="2"/>
      <c r="D169" s="2"/>
      <c r="E169" s="2"/>
      <c r="F169" s="2"/>
      <c r="G169" s="2"/>
      <c r="H169" s="2"/>
      <c r="I169" s="2"/>
      <c r="J169" s="2"/>
      <c r="K169" s="2"/>
      <c r="L169" s="2"/>
      <c r="M169" s="2"/>
      <c r="N169" s="1"/>
      <c r="O169" s="2"/>
      <c r="P169" s="2"/>
      <c r="Q169" s="2"/>
      <c r="R169" s="2"/>
      <c r="S169" s="2"/>
      <c r="T169" s="2"/>
      <c r="U169" s="2"/>
      <c r="V169" s="2"/>
      <c r="W169" s="2"/>
      <c r="X169" s="2"/>
      <c r="Y169" s="2"/>
      <c r="Z169" s="1"/>
      <c r="AA169" s="1"/>
      <c r="AB169" s="1"/>
      <c r="AC169" s="1"/>
      <c r="AD169" s="1"/>
      <c r="AE169" s="1"/>
      <c r="AF169" s="1"/>
      <c r="AG169" s="1"/>
      <c r="AH169" s="1"/>
      <c r="AI169" s="1"/>
      <c r="AJ169" s="1"/>
      <c r="AK169" s="1"/>
    </row>
    <row r="170" ht="30.0" customHeight="1">
      <c r="A170" s="1"/>
      <c r="B170" s="1"/>
      <c r="C170" s="2"/>
      <c r="D170" s="2"/>
      <c r="E170" s="2"/>
      <c r="F170" s="2"/>
      <c r="G170" s="2"/>
      <c r="H170" s="2"/>
      <c r="I170" s="2"/>
      <c r="J170" s="2"/>
      <c r="K170" s="2"/>
      <c r="L170" s="2"/>
      <c r="M170" s="2"/>
      <c r="N170" s="1"/>
      <c r="O170" s="2"/>
      <c r="P170" s="2"/>
      <c r="Q170" s="2"/>
      <c r="R170" s="2"/>
      <c r="S170" s="2"/>
      <c r="T170" s="2"/>
      <c r="U170" s="2"/>
      <c r="V170" s="2"/>
      <c r="W170" s="2"/>
      <c r="X170" s="2"/>
      <c r="Y170" s="2"/>
      <c r="Z170" s="1"/>
      <c r="AA170" s="1"/>
      <c r="AB170" s="1"/>
      <c r="AC170" s="1"/>
      <c r="AD170" s="1"/>
      <c r="AE170" s="1"/>
      <c r="AF170" s="1"/>
      <c r="AG170" s="1"/>
      <c r="AH170" s="1"/>
      <c r="AI170" s="1"/>
      <c r="AJ170" s="1"/>
      <c r="AK170" s="1"/>
    </row>
    <row r="171" ht="30.0" customHeight="1">
      <c r="A171" s="1"/>
      <c r="B171" s="1"/>
      <c r="C171" s="2"/>
      <c r="D171" s="2"/>
      <c r="E171" s="2"/>
      <c r="F171" s="2"/>
      <c r="G171" s="2"/>
      <c r="H171" s="2"/>
      <c r="I171" s="2"/>
      <c r="J171" s="2"/>
      <c r="K171" s="2"/>
      <c r="L171" s="2"/>
      <c r="M171" s="2"/>
      <c r="N171" s="1"/>
      <c r="O171" s="2"/>
      <c r="P171" s="2"/>
      <c r="Q171" s="2"/>
      <c r="R171" s="2"/>
      <c r="S171" s="2"/>
      <c r="T171" s="2"/>
      <c r="U171" s="2"/>
      <c r="V171" s="2"/>
      <c r="W171" s="2"/>
      <c r="X171" s="2"/>
      <c r="Y171" s="2"/>
      <c r="Z171" s="1"/>
      <c r="AA171" s="1"/>
      <c r="AB171" s="1"/>
      <c r="AC171" s="1"/>
      <c r="AD171" s="1"/>
      <c r="AE171" s="1"/>
      <c r="AF171" s="1"/>
      <c r="AG171" s="1"/>
      <c r="AH171" s="1"/>
      <c r="AI171" s="1"/>
      <c r="AJ171" s="1"/>
      <c r="AK171" s="1"/>
    </row>
    <row r="172" ht="30.0" customHeight="1">
      <c r="A172" s="1"/>
      <c r="B172" s="1"/>
      <c r="C172" s="2"/>
      <c r="D172" s="2"/>
      <c r="E172" s="2"/>
      <c r="F172" s="2"/>
      <c r="G172" s="2"/>
      <c r="H172" s="2"/>
      <c r="I172" s="2"/>
      <c r="J172" s="2"/>
      <c r="K172" s="2"/>
      <c r="L172" s="2"/>
      <c r="M172" s="2"/>
      <c r="N172" s="1"/>
      <c r="O172" s="2"/>
      <c r="P172" s="2"/>
      <c r="Q172" s="2"/>
      <c r="R172" s="2"/>
      <c r="S172" s="2"/>
      <c r="T172" s="2"/>
      <c r="U172" s="2"/>
      <c r="V172" s="2"/>
      <c r="W172" s="2"/>
      <c r="X172" s="2"/>
      <c r="Y172" s="2"/>
      <c r="Z172" s="1"/>
      <c r="AA172" s="1"/>
      <c r="AB172" s="1"/>
      <c r="AC172" s="1"/>
      <c r="AD172" s="1"/>
      <c r="AE172" s="1"/>
      <c r="AF172" s="1"/>
      <c r="AG172" s="1"/>
      <c r="AH172" s="1"/>
      <c r="AI172" s="1"/>
      <c r="AJ172" s="1"/>
      <c r="AK172" s="1"/>
    </row>
    <row r="173" ht="30.0" customHeight="1">
      <c r="A173" s="1"/>
      <c r="B173" s="1"/>
      <c r="C173" s="2"/>
      <c r="D173" s="2"/>
      <c r="E173" s="2"/>
      <c r="F173" s="2"/>
      <c r="G173" s="2"/>
      <c r="H173" s="2"/>
      <c r="I173" s="2"/>
      <c r="J173" s="2"/>
      <c r="K173" s="2"/>
      <c r="L173" s="2"/>
      <c r="M173" s="2"/>
      <c r="N173" s="1"/>
      <c r="O173" s="2"/>
      <c r="P173" s="2"/>
      <c r="Q173" s="2"/>
      <c r="R173" s="2"/>
      <c r="S173" s="2"/>
      <c r="T173" s="2"/>
      <c r="U173" s="2"/>
      <c r="V173" s="2"/>
      <c r="W173" s="2"/>
      <c r="X173" s="2"/>
      <c r="Y173" s="2"/>
      <c r="Z173" s="1"/>
      <c r="AA173" s="1"/>
      <c r="AB173" s="1"/>
      <c r="AC173" s="1"/>
      <c r="AD173" s="1"/>
      <c r="AE173" s="1"/>
      <c r="AF173" s="1"/>
      <c r="AG173" s="1"/>
      <c r="AH173" s="1"/>
      <c r="AI173" s="1"/>
      <c r="AJ173" s="1"/>
      <c r="AK173" s="1"/>
    </row>
    <row r="174" ht="30.0" customHeight="1">
      <c r="A174" s="1"/>
      <c r="B174" s="1"/>
      <c r="C174" s="2"/>
      <c r="D174" s="2"/>
      <c r="E174" s="2"/>
      <c r="F174" s="2"/>
      <c r="G174" s="2"/>
      <c r="H174" s="2"/>
      <c r="I174" s="2"/>
      <c r="J174" s="2"/>
      <c r="K174" s="2"/>
      <c r="L174" s="2"/>
      <c r="M174" s="2"/>
      <c r="N174" s="1"/>
      <c r="O174" s="2"/>
      <c r="P174" s="2"/>
      <c r="Q174" s="2"/>
      <c r="R174" s="2"/>
      <c r="S174" s="2"/>
      <c r="T174" s="2"/>
      <c r="U174" s="2"/>
      <c r="V174" s="2"/>
      <c r="W174" s="2"/>
      <c r="X174" s="2"/>
      <c r="Y174" s="2"/>
      <c r="Z174" s="1"/>
      <c r="AA174" s="1"/>
      <c r="AB174" s="1"/>
      <c r="AC174" s="1"/>
      <c r="AD174" s="1"/>
      <c r="AE174" s="1"/>
      <c r="AF174" s="1"/>
      <c r="AG174" s="1"/>
      <c r="AH174" s="1"/>
      <c r="AI174" s="1"/>
      <c r="AJ174" s="1"/>
      <c r="AK174" s="1"/>
    </row>
    <row r="175" ht="30.0" customHeight="1">
      <c r="A175" s="1"/>
      <c r="B175" s="1"/>
      <c r="C175" s="2"/>
      <c r="D175" s="2"/>
      <c r="E175" s="2"/>
      <c r="F175" s="2"/>
      <c r="G175" s="2"/>
      <c r="H175" s="2"/>
      <c r="I175" s="2"/>
      <c r="J175" s="2"/>
      <c r="K175" s="2"/>
      <c r="L175" s="2"/>
      <c r="M175" s="2"/>
      <c r="N175" s="1"/>
      <c r="O175" s="2"/>
      <c r="P175" s="2"/>
      <c r="Q175" s="2"/>
      <c r="R175" s="2"/>
      <c r="S175" s="2"/>
      <c r="T175" s="2"/>
      <c r="U175" s="2"/>
      <c r="V175" s="2"/>
      <c r="W175" s="2"/>
      <c r="X175" s="2"/>
      <c r="Y175" s="2"/>
      <c r="Z175" s="1"/>
      <c r="AA175" s="1"/>
      <c r="AB175" s="1"/>
      <c r="AC175" s="1"/>
      <c r="AD175" s="1"/>
      <c r="AE175" s="1"/>
      <c r="AF175" s="1"/>
      <c r="AG175" s="1"/>
      <c r="AH175" s="1"/>
      <c r="AI175" s="1"/>
      <c r="AJ175" s="1"/>
      <c r="AK175" s="1"/>
    </row>
    <row r="176" ht="30.0" customHeight="1">
      <c r="A176" s="1"/>
      <c r="B176" s="1"/>
      <c r="C176" s="2"/>
      <c r="D176" s="2"/>
      <c r="E176" s="2"/>
      <c r="F176" s="2"/>
      <c r="G176" s="2"/>
      <c r="H176" s="2"/>
      <c r="I176" s="2"/>
      <c r="J176" s="2"/>
      <c r="K176" s="2"/>
      <c r="L176" s="2"/>
      <c r="M176" s="2"/>
      <c r="N176" s="1"/>
      <c r="O176" s="2"/>
      <c r="P176" s="2"/>
      <c r="Q176" s="2"/>
      <c r="R176" s="2"/>
      <c r="S176" s="2"/>
      <c r="T176" s="2"/>
      <c r="U176" s="2"/>
      <c r="V176" s="2"/>
      <c r="W176" s="2"/>
      <c r="X176" s="2"/>
      <c r="Y176" s="2"/>
      <c r="Z176" s="1"/>
      <c r="AA176" s="1"/>
      <c r="AB176" s="1"/>
      <c r="AC176" s="1"/>
      <c r="AD176" s="1"/>
      <c r="AE176" s="1"/>
      <c r="AF176" s="1"/>
      <c r="AG176" s="1"/>
      <c r="AH176" s="1"/>
      <c r="AI176" s="1"/>
      <c r="AJ176" s="1"/>
      <c r="AK176" s="1"/>
    </row>
    <row r="177" ht="30.0" customHeight="1">
      <c r="A177" s="1"/>
      <c r="B177" s="1"/>
      <c r="C177" s="2"/>
      <c r="D177" s="2"/>
      <c r="E177" s="2"/>
      <c r="F177" s="2"/>
      <c r="G177" s="2"/>
      <c r="H177" s="2"/>
      <c r="I177" s="2"/>
      <c r="J177" s="2"/>
      <c r="K177" s="2"/>
      <c r="L177" s="2"/>
      <c r="M177" s="2"/>
      <c r="N177" s="1"/>
      <c r="O177" s="2"/>
      <c r="P177" s="2"/>
      <c r="Q177" s="2"/>
      <c r="R177" s="2"/>
      <c r="S177" s="2"/>
      <c r="T177" s="2"/>
      <c r="U177" s="2"/>
      <c r="V177" s="2"/>
      <c r="W177" s="2"/>
      <c r="X177" s="2"/>
      <c r="Y177" s="2"/>
      <c r="Z177" s="1"/>
      <c r="AA177" s="1"/>
      <c r="AB177" s="1"/>
      <c r="AC177" s="1"/>
      <c r="AD177" s="1"/>
      <c r="AE177" s="1"/>
      <c r="AF177" s="1"/>
      <c r="AG177" s="1"/>
      <c r="AH177" s="1"/>
      <c r="AI177" s="1"/>
      <c r="AJ177" s="1"/>
      <c r="AK177" s="1"/>
    </row>
    <row r="178" ht="30.0" customHeight="1">
      <c r="A178" s="1"/>
      <c r="B178" s="1"/>
      <c r="C178" s="2"/>
      <c r="D178" s="2"/>
      <c r="E178" s="2"/>
      <c r="F178" s="2"/>
      <c r="G178" s="2"/>
      <c r="H178" s="2"/>
      <c r="I178" s="2"/>
      <c r="J178" s="2"/>
      <c r="K178" s="2"/>
      <c r="L178" s="2"/>
      <c r="M178" s="2"/>
      <c r="N178" s="1"/>
      <c r="O178" s="2"/>
      <c r="P178" s="2"/>
      <c r="Q178" s="2"/>
      <c r="R178" s="2"/>
      <c r="S178" s="2"/>
      <c r="T178" s="2"/>
      <c r="U178" s="2"/>
      <c r="V178" s="2"/>
      <c r="W178" s="2"/>
      <c r="X178" s="2"/>
      <c r="Y178" s="2"/>
      <c r="Z178" s="1"/>
      <c r="AA178" s="1"/>
      <c r="AB178" s="1"/>
      <c r="AC178" s="1"/>
      <c r="AD178" s="1"/>
      <c r="AE178" s="1"/>
      <c r="AF178" s="1"/>
      <c r="AG178" s="1"/>
      <c r="AH178" s="1"/>
      <c r="AI178" s="1"/>
      <c r="AJ178" s="1"/>
      <c r="AK178" s="1"/>
    </row>
    <row r="179" ht="30.0" customHeight="1">
      <c r="A179" s="1"/>
      <c r="B179" s="1"/>
      <c r="C179" s="2"/>
      <c r="D179" s="2"/>
      <c r="E179" s="2"/>
      <c r="F179" s="2"/>
      <c r="G179" s="2"/>
      <c r="H179" s="2"/>
      <c r="I179" s="2"/>
      <c r="J179" s="2"/>
      <c r="K179" s="2"/>
      <c r="L179" s="2"/>
      <c r="M179" s="2"/>
      <c r="N179" s="1"/>
      <c r="O179" s="2"/>
      <c r="P179" s="2"/>
      <c r="Q179" s="2"/>
      <c r="R179" s="2"/>
      <c r="S179" s="2"/>
      <c r="T179" s="2"/>
      <c r="U179" s="2"/>
      <c r="V179" s="2"/>
      <c r="W179" s="2"/>
      <c r="X179" s="2"/>
      <c r="Y179" s="2"/>
      <c r="Z179" s="1"/>
      <c r="AA179" s="1"/>
      <c r="AB179" s="1"/>
      <c r="AC179" s="1"/>
      <c r="AD179" s="1"/>
      <c r="AE179" s="1"/>
      <c r="AF179" s="1"/>
      <c r="AG179" s="1"/>
      <c r="AH179" s="1"/>
      <c r="AI179" s="1"/>
      <c r="AJ179" s="1"/>
      <c r="AK179" s="1"/>
    </row>
    <row r="180" ht="30.0" customHeight="1">
      <c r="A180" s="1"/>
      <c r="B180" s="1"/>
      <c r="C180" s="2"/>
      <c r="D180" s="2"/>
      <c r="E180" s="2"/>
      <c r="F180" s="2"/>
      <c r="G180" s="2"/>
      <c r="H180" s="2"/>
      <c r="I180" s="2"/>
      <c r="J180" s="2"/>
      <c r="K180" s="2"/>
      <c r="L180" s="2"/>
      <c r="M180" s="2"/>
      <c r="N180" s="1"/>
      <c r="O180" s="2"/>
      <c r="P180" s="2"/>
      <c r="Q180" s="2"/>
      <c r="R180" s="2"/>
      <c r="S180" s="2"/>
      <c r="T180" s="2"/>
      <c r="U180" s="2"/>
      <c r="V180" s="2"/>
      <c r="W180" s="2"/>
      <c r="X180" s="2"/>
      <c r="Y180" s="2"/>
      <c r="Z180" s="1"/>
      <c r="AA180" s="1"/>
      <c r="AB180" s="1"/>
      <c r="AC180" s="1"/>
      <c r="AD180" s="1"/>
      <c r="AE180" s="1"/>
      <c r="AF180" s="1"/>
      <c r="AG180" s="1"/>
      <c r="AH180" s="1"/>
      <c r="AI180" s="1"/>
      <c r="AJ180" s="1"/>
      <c r="AK180" s="1"/>
    </row>
    <row r="181" ht="30.0" customHeight="1">
      <c r="A181" s="1"/>
      <c r="B181" s="1"/>
      <c r="C181" s="2"/>
      <c r="D181" s="2"/>
      <c r="E181" s="2"/>
      <c r="F181" s="2"/>
      <c r="G181" s="2"/>
      <c r="H181" s="2"/>
      <c r="I181" s="2"/>
      <c r="J181" s="2"/>
      <c r="K181" s="2"/>
      <c r="L181" s="2"/>
      <c r="M181" s="2"/>
      <c r="N181" s="1"/>
      <c r="O181" s="2"/>
      <c r="P181" s="2"/>
      <c r="Q181" s="2"/>
      <c r="R181" s="2"/>
      <c r="S181" s="2"/>
      <c r="T181" s="2"/>
      <c r="U181" s="2"/>
      <c r="V181" s="2"/>
      <c r="W181" s="2"/>
      <c r="X181" s="2"/>
      <c r="Y181" s="2"/>
      <c r="Z181" s="1"/>
      <c r="AA181" s="1"/>
      <c r="AB181" s="1"/>
      <c r="AC181" s="1"/>
      <c r="AD181" s="1"/>
      <c r="AE181" s="1"/>
      <c r="AF181" s="1"/>
      <c r="AG181" s="1"/>
      <c r="AH181" s="1"/>
      <c r="AI181" s="1"/>
      <c r="AJ181" s="1"/>
      <c r="AK181" s="1"/>
    </row>
    <row r="182" ht="30.0" customHeight="1">
      <c r="A182" s="1"/>
      <c r="B182" s="1"/>
      <c r="C182" s="2"/>
      <c r="D182" s="2"/>
      <c r="E182" s="2"/>
      <c r="F182" s="2"/>
      <c r="G182" s="2"/>
      <c r="H182" s="2"/>
      <c r="I182" s="2"/>
      <c r="J182" s="2"/>
      <c r="K182" s="2"/>
      <c r="L182" s="2"/>
      <c r="M182" s="2"/>
      <c r="N182" s="1"/>
      <c r="O182" s="2"/>
      <c r="P182" s="2"/>
      <c r="Q182" s="2"/>
      <c r="R182" s="2"/>
      <c r="S182" s="2"/>
      <c r="T182" s="2"/>
      <c r="U182" s="2"/>
      <c r="V182" s="2"/>
      <c r="W182" s="2"/>
      <c r="X182" s="2"/>
      <c r="Y182" s="2"/>
      <c r="Z182" s="1"/>
      <c r="AA182" s="1"/>
      <c r="AB182" s="1"/>
      <c r="AC182" s="1"/>
      <c r="AD182" s="1"/>
      <c r="AE182" s="1"/>
      <c r="AF182" s="1"/>
      <c r="AG182" s="1"/>
      <c r="AH182" s="1"/>
      <c r="AI182" s="1"/>
      <c r="AJ182" s="1"/>
      <c r="AK182" s="1"/>
    </row>
    <row r="183" ht="30.0" customHeight="1">
      <c r="A183" s="1"/>
      <c r="B183" s="1"/>
      <c r="C183" s="2"/>
      <c r="D183" s="2"/>
      <c r="E183" s="2"/>
      <c r="F183" s="2"/>
      <c r="G183" s="2"/>
      <c r="H183" s="2"/>
      <c r="I183" s="2"/>
      <c r="J183" s="2"/>
      <c r="K183" s="2"/>
      <c r="L183" s="2"/>
      <c r="M183" s="2"/>
      <c r="N183" s="1"/>
      <c r="O183" s="2"/>
      <c r="P183" s="2"/>
      <c r="Q183" s="2"/>
      <c r="R183" s="2"/>
      <c r="S183" s="2"/>
      <c r="T183" s="2"/>
      <c r="U183" s="2"/>
      <c r="V183" s="2"/>
      <c r="W183" s="2"/>
      <c r="X183" s="2"/>
      <c r="Y183" s="2"/>
      <c r="Z183" s="1"/>
      <c r="AA183" s="1"/>
      <c r="AB183" s="1"/>
      <c r="AC183" s="1"/>
      <c r="AD183" s="1"/>
      <c r="AE183" s="1"/>
      <c r="AF183" s="1"/>
      <c r="AG183" s="1"/>
      <c r="AH183" s="1"/>
      <c r="AI183" s="1"/>
      <c r="AJ183" s="1"/>
      <c r="AK183" s="1"/>
    </row>
    <row r="184" ht="30.0" customHeight="1">
      <c r="A184" s="1"/>
      <c r="B184" s="1"/>
      <c r="C184" s="2"/>
      <c r="D184" s="2"/>
      <c r="E184" s="2"/>
      <c r="F184" s="2"/>
      <c r="G184" s="2"/>
      <c r="H184" s="2"/>
      <c r="I184" s="2"/>
      <c r="J184" s="2"/>
      <c r="K184" s="2"/>
      <c r="L184" s="2"/>
      <c r="M184" s="2"/>
      <c r="N184" s="1"/>
      <c r="O184" s="2"/>
      <c r="P184" s="2"/>
      <c r="Q184" s="2"/>
      <c r="R184" s="2"/>
      <c r="S184" s="2"/>
      <c r="T184" s="2"/>
      <c r="U184" s="2"/>
      <c r="V184" s="2"/>
      <c r="W184" s="2"/>
      <c r="X184" s="2"/>
      <c r="Y184" s="2"/>
      <c r="Z184" s="1"/>
      <c r="AA184" s="1"/>
      <c r="AB184" s="1"/>
      <c r="AC184" s="1"/>
      <c r="AD184" s="1"/>
      <c r="AE184" s="1"/>
      <c r="AF184" s="1"/>
      <c r="AG184" s="1"/>
      <c r="AH184" s="1"/>
      <c r="AI184" s="1"/>
      <c r="AJ184" s="1"/>
      <c r="AK184" s="1"/>
    </row>
    <row r="185" ht="30.0" customHeight="1">
      <c r="A185" s="1"/>
      <c r="B185" s="1"/>
      <c r="C185" s="2"/>
      <c r="D185" s="2"/>
      <c r="E185" s="2"/>
      <c r="F185" s="2"/>
      <c r="G185" s="2"/>
      <c r="H185" s="2"/>
      <c r="I185" s="2"/>
      <c r="J185" s="2"/>
      <c r="K185" s="2"/>
      <c r="L185" s="2"/>
      <c r="M185" s="2"/>
      <c r="N185" s="1"/>
      <c r="O185" s="2"/>
      <c r="P185" s="2"/>
      <c r="Q185" s="2"/>
      <c r="R185" s="2"/>
      <c r="S185" s="2"/>
      <c r="T185" s="2"/>
      <c r="U185" s="2"/>
      <c r="V185" s="2"/>
      <c r="W185" s="2"/>
      <c r="X185" s="2"/>
      <c r="Y185" s="2"/>
      <c r="Z185" s="1"/>
      <c r="AA185" s="1"/>
      <c r="AB185" s="1"/>
      <c r="AC185" s="1"/>
      <c r="AD185" s="1"/>
      <c r="AE185" s="1"/>
      <c r="AF185" s="1"/>
      <c r="AG185" s="1"/>
      <c r="AH185" s="1"/>
      <c r="AI185" s="1"/>
      <c r="AJ185" s="1"/>
      <c r="AK185" s="1"/>
    </row>
    <row r="186" ht="30.0" customHeight="1">
      <c r="A186" s="1"/>
      <c r="B186" s="1"/>
      <c r="C186" s="2"/>
      <c r="D186" s="2"/>
      <c r="E186" s="2"/>
      <c r="F186" s="2"/>
      <c r="G186" s="2"/>
      <c r="H186" s="2"/>
      <c r="I186" s="2"/>
      <c r="J186" s="2"/>
      <c r="K186" s="2"/>
      <c r="L186" s="2"/>
      <c r="M186" s="2"/>
      <c r="N186" s="1"/>
      <c r="O186" s="2"/>
      <c r="P186" s="2"/>
      <c r="Q186" s="2"/>
      <c r="R186" s="2"/>
      <c r="S186" s="2"/>
      <c r="T186" s="2"/>
      <c r="U186" s="2"/>
      <c r="V186" s="2"/>
      <c r="W186" s="2"/>
      <c r="X186" s="2"/>
      <c r="Y186" s="2"/>
      <c r="Z186" s="1"/>
      <c r="AA186" s="1"/>
      <c r="AB186" s="1"/>
      <c r="AC186" s="1"/>
      <c r="AD186" s="1"/>
      <c r="AE186" s="1"/>
      <c r="AF186" s="1"/>
      <c r="AG186" s="1"/>
      <c r="AH186" s="1"/>
      <c r="AI186" s="1"/>
      <c r="AJ186" s="1"/>
      <c r="AK186" s="1"/>
    </row>
    <row r="187" ht="30.0" customHeight="1">
      <c r="A187" s="1"/>
      <c r="B187" s="1"/>
      <c r="C187" s="2"/>
      <c r="D187" s="2"/>
      <c r="E187" s="2"/>
      <c r="F187" s="2"/>
      <c r="G187" s="2"/>
      <c r="H187" s="2"/>
      <c r="I187" s="2"/>
      <c r="J187" s="2"/>
      <c r="K187" s="2"/>
      <c r="L187" s="2"/>
      <c r="M187" s="2"/>
      <c r="N187" s="1"/>
      <c r="O187" s="2"/>
      <c r="P187" s="2"/>
      <c r="Q187" s="2"/>
      <c r="R187" s="2"/>
      <c r="S187" s="2"/>
      <c r="T187" s="2"/>
      <c r="U187" s="2"/>
      <c r="V187" s="2"/>
      <c r="W187" s="2"/>
      <c r="X187" s="2"/>
      <c r="Y187" s="2"/>
      <c r="Z187" s="1"/>
      <c r="AA187" s="1"/>
      <c r="AB187" s="1"/>
      <c r="AC187" s="1"/>
      <c r="AD187" s="1"/>
      <c r="AE187" s="1"/>
      <c r="AF187" s="1"/>
      <c r="AG187" s="1"/>
      <c r="AH187" s="1"/>
      <c r="AI187" s="1"/>
      <c r="AJ187" s="1"/>
      <c r="AK187" s="1"/>
    </row>
    <row r="188" ht="30.0" customHeight="1">
      <c r="A188" s="1"/>
      <c r="B188" s="1"/>
      <c r="C188" s="2"/>
      <c r="D188" s="2"/>
      <c r="E188" s="2"/>
      <c r="F188" s="2"/>
      <c r="G188" s="2"/>
      <c r="H188" s="2"/>
      <c r="I188" s="2"/>
      <c r="J188" s="2"/>
      <c r="K188" s="2"/>
      <c r="L188" s="2"/>
      <c r="M188" s="2"/>
      <c r="N188" s="1"/>
      <c r="O188" s="2"/>
      <c r="P188" s="2"/>
      <c r="Q188" s="2"/>
      <c r="R188" s="2"/>
      <c r="S188" s="2"/>
      <c r="T188" s="2"/>
      <c r="U188" s="2"/>
      <c r="V188" s="2"/>
      <c r="W188" s="2"/>
      <c r="X188" s="2"/>
      <c r="Y188" s="2"/>
      <c r="Z188" s="1"/>
      <c r="AA188" s="1"/>
      <c r="AB188" s="1"/>
      <c r="AC188" s="1"/>
      <c r="AD188" s="1"/>
      <c r="AE188" s="1"/>
      <c r="AF188" s="1"/>
      <c r="AG188" s="1"/>
      <c r="AH188" s="1"/>
      <c r="AI188" s="1"/>
      <c r="AJ188" s="1"/>
      <c r="AK188" s="1"/>
    </row>
    <row r="189" ht="30.0" customHeight="1">
      <c r="A189" s="1"/>
      <c r="B189" s="1"/>
      <c r="C189" s="2"/>
      <c r="D189" s="2"/>
      <c r="E189" s="2"/>
      <c r="F189" s="2"/>
      <c r="G189" s="2"/>
      <c r="H189" s="2"/>
      <c r="I189" s="2"/>
      <c r="J189" s="2"/>
      <c r="K189" s="2"/>
      <c r="L189" s="2"/>
      <c r="M189" s="2"/>
      <c r="N189" s="1"/>
      <c r="O189" s="2"/>
      <c r="P189" s="2"/>
      <c r="Q189" s="2"/>
      <c r="R189" s="2"/>
      <c r="S189" s="2"/>
      <c r="T189" s="2"/>
      <c r="U189" s="2"/>
      <c r="V189" s="2"/>
      <c r="W189" s="2"/>
      <c r="X189" s="2"/>
      <c r="Y189" s="2"/>
      <c r="Z189" s="1"/>
      <c r="AA189" s="1"/>
      <c r="AB189" s="1"/>
      <c r="AC189" s="1"/>
      <c r="AD189" s="1"/>
      <c r="AE189" s="1"/>
      <c r="AF189" s="1"/>
      <c r="AG189" s="1"/>
      <c r="AH189" s="1"/>
      <c r="AI189" s="1"/>
      <c r="AJ189" s="1"/>
      <c r="AK189" s="1"/>
    </row>
    <row r="190" ht="30.0" customHeight="1">
      <c r="A190" s="1"/>
      <c r="B190" s="1"/>
      <c r="C190" s="2"/>
      <c r="D190" s="2"/>
      <c r="E190" s="2"/>
      <c r="F190" s="2"/>
      <c r="G190" s="2"/>
      <c r="H190" s="2"/>
      <c r="I190" s="2"/>
      <c r="J190" s="2"/>
      <c r="K190" s="2"/>
      <c r="L190" s="2"/>
      <c r="M190" s="2"/>
      <c r="N190" s="1"/>
      <c r="O190" s="2"/>
      <c r="P190" s="2"/>
      <c r="Q190" s="2"/>
      <c r="R190" s="2"/>
      <c r="S190" s="2"/>
      <c r="T190" s="2"/>
      <c r="U190" s="2"/>
      <c r="V190" s="2"/>
      <c r="W190" s="2"/>
      <c r="X190" s="2"/>
      <c r="Y190" s="2"/>
      <c r="Z190" s="1"/>
      <c r="AA190" s="1"/>
      <c r="AB190" s="1"/>
      <c r="AC190" s="1"/>
      <c r="AD190" s="1"/>
      <c r="AE190" s="1"/>
      <c r="AF190" s="1"/>
      <c r="AG190" s="1"/>
      <c r="AH190" s="1"/>
      <c r="AI190" s="1"/>
      <c r="AJ190" s="1"/>
      <c r="AK190" s="1"/>
    </row>
    <row r="191" ht="30.0" customHeight="1">
      <c r="A191" s="1"/>
      <c r="B191" s="1"/>
      <c r="C191" s="2"/>
      <c r="D191" s="2"/>
      <c r="E191" s="2"/>
      <c r="F191" s="2"/>
      <c r="G191" s="2"/>
      <c r="H191" s="2"/>
      <c r="I191" s="2"/>
      <c r="J191" s="2"/>
      <c r="K191" s="2"/>
      <c r="L191" s="2"/>
      <c r="M191" s="2"/>
      <c r="N191" s="1"/>
      <c r="O191" s="2"/>
      <c r="P191" s="2"/>
      <c r="Q191" s="2"/>
      <c r="R191" s="2"/>
      <c r="S191" s="2"/>
      <c r="T191" s="2"/>
      <c r="U191" s="2"/>
      <c r="V191" s="2"/>
      <c r="W191" s="2"/>
      <c r="X191" s="2"/>
      <c r="Y191" s="2"/>
      <c r="Z191" s="1"/>
      <c r="AA191" s="1"/>
      <c r="AB191" s="1"/>
      <c r="AC191" s="1"/>
      <c r="AD191" s="1"/>
      <c r="AE191" s="1"/>
      <c r="AF191" s="1"/>
      <c r="AG191" s="1"/>
      <c r="AH191" s="1"/>
      <c r="AI191" s="1"/>
      <c r="AJ191" s="1"/>
      <c r="AK191" s="1"/>
    </row>
    <row r="192" ht="30.0" customHeight="1">
      <c r="A192" s="1"/>
      <c r="B192" s="1"/>
      <c r="C192" s="2"/>
      <c r="D192" s="2"/>
      <c r="E192" s="2"/>
      <c r="F192" s="2"/>
      <c r="G192" s="2"/>
      <c r="H192" s="2"/>
      <c r="I192" s="2"/>
      <c r="J192" s="2"/>
      <c r="K192" s="2"/>
      <c r="L192" s="2"/>
      <c r="M192" s="2"/>
      <c r="N192" s="1"/>
      <c r="O192" s="2"/>
      <c r="P192" s="2"/>
      <c r="Q192" s="2"/>
      <c r="R192" s="2"/>
      <c r="S192" s="2"/>
      <c r="T192" s="2"/>
      <c r="U192" s="2"/>
      <c r="V192" s="2"/>
      <c r="W192" s="2"/>
      <c r="X192" s="2"/>
      <c r="Y192" s="2"/>
      <c r="Z192" s="1"/>
      <c r="AA192" s="1"/>
      <c r="AB192" s="1"/>
      <c r="AC192" s="1"/>
      <c r="AD192" s="1"/>
      <c r="AE192" s="1"/>
      <c r="AF192" s="1"/>
      <c r="AG192" s="1"/>
      <c r="AH192" s="1"/>
      <c r="AI192" s="1"/>
      <c r="AJ192" s="1"/>
      <c r="AK192" s="1"/>
    </row>
    <row r="193" ht="30.0" customHeight="1">
      <c r="A193" s="1"/>
      <c r="B193" s="1"/>
      <c r="C193" s="2"/>
      <c r="D193" s="2"/>
      <c r="E193" s="2"/>
      <c r="F193" s="2"/>
      <c r="G193" s="2"/>
      <c r="H193" s="2"/>
      <c r="I193" s="2"/>
      <c r="J193" s="2"/>
      <c r="K193" s="2"/>
      <c r="L193" s="2"/>
      <c r="M193" s="2"/>
      <c r="N193" s="1"/>
      <c r="O193" s="2"/>
      <c r="P193" s="2"/>
      <c r="Q193" s="2"/>
      <c r="R193" s="2"/>
      <c r="S193" s="2"/>
      <c r="T193" s="2"/>
      <c r="U193" s="2"/>
      <c r="V193" s="2"/>
      <c r="W193" s="2"/>
      <c r="X193" s="2"/>
      <c r="Y193" s="2"/>
      <c r="Z193" s="1"/>
      <c r="AA193" s="1"/>
      <c r="AB193" s="1"/>
      <c r="AC193" s="1"/>
      <c r="AD193" s="1"/>
      <c r="AE193" s="1"/>
      <c r="AF193" s="1"/>
      <c r="AG193" s="1"/>
      <c r="AH193" s="1"/>
      <c r="AI193" s="1"/>
      <c r="AJ193" s="1"/>
      <c r="AK193" s="1"/>
    </row>
    <row r="194" ht="30.0" customHeight="1">
      <c r="A194" s="1"/>
      <c r="B194" s="1"/>
      <c r="C194" s="2"/>
      <c r="D194" s="2"/>
      <c r="E194" s="2"/>
      <c r="F194" s="2"/>
      <c r="G194" s="2"/>
      <c r="H194" s="2"/>
      <c r="I194" s="2"/>
      <c r="J194" s="2"/>
      <c r="K194" s="2"/>
      <c r="L194" s="2"/>
      <c r="M194" s="2"/>
      <c r="N194" s="1"/>
      <c r="O194" s="2"/>
      <c r="P194" s="2"/>
      <c r="Q194" s="2"/>
      <c r="R194" s="2"/>
      <c r="S194" s="2"/>
      <c r="T194" s="2"/>
      <c r="U194" s="2"/>
      <c r="V194" s="2"/>
      <c r="W194" s="2"/>
      <c r="X194" s="2"/>
      <c r="Y194" s="2"/>
      <c r="Z194" s="1"/>
      <c r="AA194" s="1"/>
      <c r="AB194" s="1"/>
      <c r="AC194" s="1"/>
      <c r="AD194" s="1"/>
      <c r="AE194" s="1"/>
      <c r="AF194" s="1"/>
      <c r="AG194" s="1"/>
      <c r="AH194" s="1"/>
      <c r="AI194" s="1"/>
      <c r="AJ194" s="1"/>
      <c r="AK194" s="1"/>
    </row>
    <row r="195" ht="30.0" customHeight="1">
      <c r="A195" s="1"/>
      <c r="B195" s="1"/>
      <c r="C195" s="2"/>
      <c r="D195" s="2"/>
      <c r="E195" s="2"/>
      <c r="F195" s="2"/>
      <c r="G195" s="2"/>
      <c r="H195" s="2"/>
      <c r="I195" s="2"/>
      <c r="J195" s="2"/>
      <c r="K195" s="2"/>
      <c r="L195" s="2"/>
      <c r="M195" s="2"/>
      <c r="N195" s="1"/>
      <c r="O195" s="2"/>
      <c r="P195" s="2"/>
      <c r="Q195" s="2"/>
      <c r="R195" s="2"/>
      <c r="S195" s="2"/>
      <c r="T195" s="2"/>
      <c r="U195" s="2"/>
      <c r="V195" s="2"/>
      <c r="W195" s="2"/>
      <c r="X195" s="2"/>
      <c r="Y195" s="2"/>
      <c r="Z195" s="1"/>
      <c r="AA195" s="1"/>
      <c r="AB195" s="1"/>
      <c r="AC195" s="1"/>
      <c r="AD195" s="1"/>
      <c r="AE195" s="1"/>
      <c r="AF195" s="1"/>
      <c r="AG195" s="1"/>
      <c r="AH195" s="1"/>
      <c r="AI195" s="1"/>
      <c r="AJ195" s="1"/>
      <c r="AK195" s="1"/>
    </row>
    <row r="196" ht="30.0" customHeight="1">
      <c r="A196" s="1"/>
      <c r="B196" s="1"/>
      <c r="C196" s="2"/>
      <c r="D196" s="2"/>
      <c r="E196" s="2"/>
      <c r="F196" s="2"/>
      <c r="G196" s="2"/>
      <c r="H196" s="2"/>
      <c r="I196" s="2"/>
      <c r="J196" s="2"/>
      <c r="K196" s="2"/>
      <c r="L196" s="2"/>
      <c r="M196" s="2"/>
      <c r="N196" s="1"/>
      <c r="O196" s="2"/>
      <c r="P196" s="2"/>
      <c r="Q196" s="2"/>
      <c r="R196" s="2"/>
      <c r="S196" s="2"/>
      <c r="T196" s="2"/>
      <c r="U196" s="2"/>
      <c r="V196" s="2"/>
      <c r="W196" s="2"/>
      <c r="X196" s="2"/>
      <c r="Y196" s="2"/>
      <c r="Z196" s="1"/>
      <c r="AA196" s="1"/>
      <c r="AB196" s="1"/>
      <c r="AC196" s="1"/>
      <c r="AD196" s="1"/>
      <c r="AE196" s="1"/>
      <c r="AF196" s="1"/>
      <c r="AG196" s="1"/>
      <c r="AH196" s="1"/>
      <c r="AI196" s="1"/>
      <c r="AJ196" s="1"/>
      <c r="AK196" s="1"/>
    </row>
    <row r="197" ht="30.0" customHeight="1">
      <c r="A197" s="1"/>
      <c r="B197" s="1"/>
      <c r="C197" s="2"/>
      <c r="D197" s="2"/>
      <c r="E197" s="2"/>
      <c r="F197" s="2"/>
      <c r="G197" s="2"/>
      <c r="H197" s="2"/>
      <c r="I197" s="2"/>
      <c r="J197" s="2"/>
      <c r="K197" s="2"/>
      <c r="L197" s="2"/>
      <c r="M197" s="2"/>
      <c r="N197" s="1"/>
      <c r="O197" s="2"/>
      <c r="P197" s="2"/>
      <c r="Q197" s="2"/>
      <c r="R197" s="2"/>
      <c r="S197" s="2"/>
      <c r="T197" s="2"/>
      <c r="U197" s="2"/>
      <c r="V197" s="2"/>
      <c r="W197" s="2"/>
      <c r="X197" s="2"/>
      <c r="Y197" s="2"/>
      <c r="Z197" s="1"/>
      <c r="AA197" s="1"/>
      <c r="AB197" s="1"/>
      <c r="AC197" s="1"/>
      <c r="AD197" s="1"/>
      <c r="AE197" s="1"/>
      <c r="AF197" s="1"/>
      <c r="AG197" s="1"/>
      <c r="AH197" s="1"/>
      <c r="AI197" s="1"/>
      <c r="AJ197" s="1"/>
      <c r="AK197" s="1"/>
    </row>
    <row r="198" ht="30.0" customHeight="1">
      <c r="A198" s="1"/>
      <c r="B198" s="1"/>
      <c r="C198" s="2"/>
      <c r="D198" s="2"/>
      <c r="E198" s="2"/>
      <c r="F198" s="2"/>
      <c r="G198" s="2"/>
      <c r="H198" s="2"/>
      <c r="I198" s="2"/>
      <c r="J198" s="2"/>
      <c r="K198" s="2"/>
      <c r="L198" s="2"/>
      <c r="M198" s="2"/>
      <c r="N198" s="1"/>
      <c r="O198" s="2"/>
      <c r="P198" s="2"/>
      <c r="Q198" s="2"/>
      <c r="R198" s="2"/>
      <c r="S198" s="2"/>
      <c r="T198" s="2"/>
      <c r="U198" s="2"/>
      <c r="V198" s="2"/>
      <c r="W198" s="2"/>
      <c r="X198" s="2"/>
      <c r="Y198" s="2"/>
      <c r="Z198" s="1"/>
      <c r="AA198" s="1"/>
      <c r="AB198" s="1"/>
      <c r="AC198" s="1"/>
      <c r="AD198" s="1"/>
      <c r="AE198" s="1"/>
      <c r="AF198" s="1"/>
      <c r="AG198" s="1"/>
      <c r="AH198" s="1"/>
      <c r="AI198" s="1"/>
      <c r="AJ198" s="1"/>
      <c r="AK198" s="1"/>
    </row>
    <row r="199" ht="30.0" customHeight="1">
      <c r="A199" s="1"/>
      <c r="B199" s="1"/>
      <c r="C199" s="2"/>
      <c r="D199" s="2"/>
      <c r="E199" s="2"/>
      <c r="F199" s="2"/>
      <c r="G199" s="2"/>
      <c r="H199" s="2"/>
      <c r="I199" s="2"/>
      <c r="J199" s="2"/>
      <c r="K199" s="2"/>
      <c r="L199" s="2"/>
      <c r="M199" s="2"/>
      <c r="N199" s="1"/>
      <c r="O199" s="2"/>
      <c r="P199" s="2"/>
      <c r="Q199" s="2"/>
      <c r="R199" s="2"/>
      <c r="S199" s="2"/>
      <c r="T199" s="2"/>
      <c r="U199" s="2"/>
      <c r="V199" s="2"/>
      <c r="W199" s="2"/>
      <c r="X199" s="2"/>
      <c r="Y199" s="2"/>
      <c r="Z199" s="1"/>
      <c r="AA199" s="1"/>
      <c r="AB199" s="1"/>
      <c r="AC199" s="1"/>
      <c r="AD199" s="1"/>
      <c r="AE199" s="1"/>
      <c r="AF199" s="1"/>
      <c r="AG199" s="1"/>
      <c r="AH199" s="1"/>
      <c r="AI199" s="1"/>
      <c r="AJ199" s="1"/>
      <c r="AK199" s="1"/>
    </row>
    <row r="200" ht="30.0" customHeight="1">
      <c r="A200" s="1"/>
      <c r="B200" s="1"/>
      <c r="C200" s="2"/>
      <c r="D200" s="2"/>
      <c r="E200" s="2"/>
      <c r="F200" s="2"/>
      <c r="G200" s="2"/>
      <c r="H200" s="2"/>
      <c r="I200" s="2"/>
      <c r="J200" s="2"/>
      <c r="K200" s="2"/>
      <c r="L200" s="2"/>
      <c r="M200" s="2"/>
      <c r="N200" s="1"/>
      <c r="O200" s="2"/>
      <c r="P200" s="2"/>
      <c r="Q200" s="2"/>
      <c r="R200" s="2"/>
      <c r="S200" s="2"/>
      <c r="T200" s="2"/>
      <c r="U200" s="2"/>
      <c r="V200" s="2"/>
      <c r="W200" s="2"/>
      <c r="X200" s="2"/>
      <c r="Y200" s="2"/>
      <c r="Z200" s="1"/>
      <c r="AA200" s="1"/>
      <c r="AB200" s="1"/>
      <c r="AC200" s="1"/>
      <c r="AD200" s="1"/>
      <c r="AE200" s="1"/>
      <c r="AF200" s="1"/>
      <c r="AG200" s="1"/>
      <c r="AH200" s="1"/>
      <c r="AI200" s="1"/>
      <c r="AJ200" s="1"/>
      <c r="AK200" s="1"/>
    </row>
    <row r="201" ht="30.0" customHeight="1">
      <c r="A201" s="1"/>
      <c r="B201" s="1"/>
      <c r="C201" s="2"/>
      <c r="D201" s="2"/>
      <c r="E201" s="2"/>
      <c r="F201" s="2"/>
      <c r="G201" s="2"/>
      <c r="H201" s="2"/>
      <c r="I201" s="2"/>
      <c r="J201" s="2"/>
      <c r="K201" s="2"/>
      <c r="L201" s="2"/>
      <c r="M201" s="2"/>
      <c r="N201" s="1"/>
      <c r="O201" s="2"/>
      <c r="P201" s="2"/>
      <c r="Q201" s="2"/>
      <c r="R201" s="2"/>
      <c r="S201" s="2"/>
      <c r="T201" s="2"/>
      <c r="U201" s="2"/>
      <c r="V201" s="2"/>
      <c r="W201" s="2"/>
      <c r="X201" s="2"/>
      <c r="Y201" s="2"/>
      <c r="Z201" s="1"/>
      <c r="AA201" s="1"/>
      <c r="AB201" s="1"/>
      <c r="AC201" s="1"/>
      <c r="AD201" s="1"/>
      <c r="AE201" s="1"/>
      <c r="AF201" s="1"/>
      <c r="AG201" s="1"/>
      <c r="AH201" s="1"/>
      <c r="AI201" s="1"/>
      <c r="AJ201" s="1"/>
      <c r="AK201" s="1"/>
    </row>
    <row r="202" ht="30.0" customHeight="1">
      <c r="A202" s="1"/>
      <c r="B202" s="1"/>
      <c r="C202" s="2"/>
      <c r="D202" s="2"/>
      <c r="E202" s="2"/>
      <c r="F202" s="2"/>
      <c r="G202" s="2"/>
      <c r="H202" s="2"/>
      <c r="I202" s="2"/>
      <c r="J202" s="2"/>
      <c r="K202" s="2"/>
      <c r="L202" s="2"/>
      <c r="M202" s="2"/>
      <c r="N202" s="1"/>
      <c r="O202" s="2"/>
      <c r="P202" s="2"/>
      <c r="Q202" s="2"/>
      <c r="R202" s="2"/>
      <c r="S202" s="2"/>
      <c r="T202" s="2"/>
      <c r="U202" s="2"/>
      <c r="V202" s="2"/>
      <c r="W202" s="2"/>
      <c r="X202" s="2"/>
      <c r="Y202" s="2"/>
      <c r="Z202" s="1"/>
      <c r="AA202" s="1"/>
      <c r="AB202" s="1"/>
      <c r="AC202" s="1"/>
      <c r="AD202" s="1"/>
      <c r="AE202" s="1"/>
      <c r="AF202" s="1"/>
      <c r="AG202" s="1"/>
      <c r="AH202" s="1"/>
      <c r="AI202" s="1"/>
      <c r="AJ202" s="1"/>
      <c r="AK202" s="1"/>
    </row>
    <row r="203" ht="30.0" customHeight="1">
      <c r="A203" s="1"/>
      <c r="B203" s="1"/>
      <c r="C203" s="2"/>
      <c r="D203" s="2"/>
      <c r="E203" s="2"/>
      <c r="F203" s="2"/>
      <c r="G203" s="2"/>
      <c r="H203" s="2"/>
      <c r="I203" s="2"/>
      <c r="J203" s="2"/>
      <c r="K203" s="2"/>
      <c r="L203" s="2"/>
      <c r="M203" s="2"/>
      <c r="N203" s="1"/>
      <c r="O203" s="2"/>
      <c r="P203" s="2"/>
      <c r="Q203" s="2"/>
      <c r="R203" s="2"/>
      <c r="S203" s="2"/>
      <c r="T203" s="2"/>
      <c r="U203" s="2"/>
      <c r="V203" s="2"/>
      <c r="W203" s="2"/>
      <c r="X203" s="2"/>
      <c r="Y203" s="2"/>
      <c r="Z203" s="1"/>
      <c r="AA203" s="1"/>
      <c r="AB203" s="1"/>
      <c r="AC203" s="1"/>
      <c r="AD203" s="1"/>
      <c r="AE203" s="1"/>
      <c r="AF203" s="1"/>
      <c r="AG203" s="1"/>
      <c r="AH203" s="1"/>
      <c r="AI203" s="1"/>
      <c r="AJ203" s="1"/>
      <c r="AK203" s="1"/>
    </row>
    <row r="204" ht="30.0" customHeight="1">
      <c r="A204" s="1"/>
      <c r="B204" s="1"/>
      <c r="C204" s="2"/>
      <c r="D204" s="2"/>
      <c r="E204" s="2"/>
      <c r="F204" s="2"/>
      <c r="G204" s="2"/>
      <c r="H204" s="2"/>
      <c r="I204" s="2"/>
      <c r="J204" s="2"/>
      <c r="K204" s="2"/>
      <c r="L204" s="2"/>
      <c r="M204" s="2"/>
      <c r="N204" s="1"/>
      <c r="O204" s="2"/>
      <c r="P204" s="2"/>
      <c r="Q204" s="2"/>
      <c r="R204" s="2"/>
      <c r="S204" s="2"/>
      <c r="T204" s="2"/>
      <c r="U204" s="2"/>
      <c r="V204" s="2"/>
      <c r="W204" s="2"/>
      <c r="X204" s="2"/>
      <c r="Y204" s="2"/>
      <c r="Z204" s="1"/>
      <c r="AA204" s="1"/>
      <c r="AB204" s="1"/>
      <c r="AC204" s="1"/>
      <c r="AD204" s="1"/>
      <c r="AE204" s="1"/>
      <c r="AF204" s="1"/>
      <c r="AG204" s="1"/>
      <c r="AH204" s="1"/>
      <c r="AI204" s="1"/>
      <c r="AJ204" s="1"/>
      <c r="AK204" s="1"/>
    </row>
    <row r="205" ht="30.0" customHeight="1">
      <c r="A205" s="1"/>
      <c r="B205" s="1"/>
      <c r="C205" s="2"/>
      <c r="D205" s="2"/>
      <c r="E205" s="2"/>
      <c r="F205" s="2"/>
      <c r="G205" s="2"/>
      <c r="H205" s="2"/>
      <c r="I205" s="2"/>
      <c r="J205" s="2"/>
      <c r="K205" s="2"/>
      <c r="L205" s="2"/>
      <c r="M205" s="2"/>
      <c r="N205" s="1"/>
      <c r="O205" s="2"/>
      <c r="P205" s="2"/>
      <c r="Q205" s="2"/>
      <c r="R205" s="2"/>
      <c r="S205" s="2"/>
      <c r="T205" s="2"/>
      <c r="U205" s="2"/>
      <c r="V205" s="2"/>
      <c r="W205" s="2"/>
      <c r="X205" s="2"/>
      <c r="Y205" s="2"/>
      <c r="Z205" s="1"/>
      <c r="AA205" s="1"/>
      <c r="AB205" s="1"/>
      <c r="AC205" s="1"/>
      <c r="AD205" s="1"/>
      <c r="AE205" s="1"/>
      <c r="AF205" s="1"/>
      <c r="AG205" s="1"/>
      <c r="AH205" s="1"/>
      <c r="AI205" s="1"/>
      <c r="AJ205" s="1"/>
      <c r="AK205" s="1"/>
    </row>
    <row r="206" ht="30.0" customHeight="1">
      <c r="A206" s="1"/>
      <c r="B206" s="1"/>
      <c r="C206" s="2"/>
      <c r="D206" s="2"/>
      <c r="E206" s="2"/>
      <c r="F206" s="2"/>
      <c r="G206" s="2"/>
      <c r="H206" s="2"/>
      <c r="I206" s="2"/>
      <c r="J206" s="2"/>
      <c r="K206" s="2"/>
      <c r="L206" s="2"/>
      <c r="M206" s="2"/>
      <c r="N206" s="1"/>
      <c r="O206" s="2"/>
      <c r="P206" s="2"/>
      <c r="Q206" s="2"/>
      <c r="R206" s="2"/>
      <c r="S206" s="2"/>
      <c r="T206" s="2"/>
      <c r="U206" s="2"/>
      <c r="V206" s="2"/>
      <c r="W206" s="2"/>
      <c r="X206" s="2"/>
      <c r="Y206" s="2"/>
      <c r="Z206" s="1"/>
      <c r="AA206" s="1"/>
      <c r="AB206" s="1"/>
      <c r="AC206" s="1"/>
      <c r="AD206" s="1"/>
      <c r="AE206" s="1"/>
      <c r="AF206" s="1"/>
      <c r="AG206" s="1"/>
      <c r="AH206" s="1"/>
      <c r="AI206" s="1"/>
      <c r="AJ206" s="1"/>
      <c r="AK206" s="1"/>
    </row>
    <row r="207" ht="30.0" customHeight="1">
      <c r="A207" s="1"/>
      <c r="B207" s="1"/>
      <c r="C207" s="2"/>
      <c r="D207" s="2"/>
      <c r="E207" s="2"/>
      <c r="F207" s="2"/>
      <c r="G207" s="2"/>
      <c r="H207" s="2"/>
      <c r="I207" s="2"/>
      <c r="J207" s="2"/>
      <c r="K207" s="2"/>
      <c r="L207" s="2"/>
      <c r="M207" s="2"/>
      <c r="N207" s="1"/>
      <c r="O207" s="2"/>
      <c r="P207" s="2"/>
      <c r="Q207" s="2"/>
      <c r="R207" s="2"/>
      <c r="S207" s="2"/>
      <c r="T207" s="2"/>
      <c r="U207" s="2"/>
      <c r="V207" s="2"/>
      <c r="W207" s="2"/>
      <c r="X207" s="2"/>
      <c r="Y207" s="2"/>
      <c r="Z207" s="1"/>
      <c r="AA207" s="1"/>
      <c r="AB207" s="1"/>
      <c r="AC207" s="1"/>
      <c r="AD207" s="1"/>
      <c r="AE207" s="1"/>
      <c r="AF207" s="1"/>
      <c r="AG207" s="1"/>
      <c r="AH207" s="1"/>
      <c r="AI207" s="1"/>
      <c r="AJ207" s="1"/>
      <c r="AK207" s="1"/>
    </row>
    <row r="208" ht="30.0" customHeight="1">
      <c r="A208" s="1"/>
      <c r="B208" s="1"/>
      <c r="C208" s="2"/>
      <c r="D208" s="2"/>
      <c r="E208" s="2"/>
      <c r="F208" s="2"/>
      <c r="G208" s="2"/>
      <c r="H208" s="2"/>
      <c r="I208" s="2"/>
      <c r="J208" s="2"/>
      <c r="K208" s="2"/>
      <c r="L208" s="2"/>
      <c r="M208" s="2"/>
      <c r="N208" s="1"/>
      <c r="O208" s="2"/>
      <c r="P208" s="2"/>
      <c r="Q208" s="2"/>
      <c r="R208" s="2"/>
      <c r="S208" s="2"/>
      <c r="T208" s="2"/>
      <c r="U208" s="2"/>
      <c r="V208" s="2"/>
      <c r="W208" s="2"/>
      <c r="X208" s="2"/>
      <c r="Y208" s="2"/>
      <c r="Z208" s="1"/>
      <c r="AA208" s="1"/>
      <c r="AB208" s="1"/>
      <c r="AC208" s="1"/>
      <c r="AD208" s="1"/>
      <c r="AE208" s="1"/>
      <c r="AF208" s="1"/>
      <c r="AG208" s="1"/>
      <c r="AH208" s="1"/>
      <c r="AI208" s="1"/>
      <c r="AJ208" s="1"/>
      <c r="AK208" s="1"/>
    </row>
    <row r="209" ht="30.0" customHeight="1">
      <c r="A209" s="1"/>
      <c r="B209" s="1"/>
      <c r="C209" s="2"/>
      <c r="D209" s="2"/>
      <c r="E209" s="2"/>
      <c r="F209" s="2"/>
      <c r="G209" s="2"/>
      <c r="H209" s="2"/>
      <c r="I209" s="2"/>
      <c r="J209" s="2"/>
      <c r="K209" s="2"/>
      <c r="L209" s="2"/>
      <c r="M209" s="2"/>
      <c r="N209" s="1"/>
      <c r="O209" s="2"/>
      <c r="P209" s="2"/>
      <c r="Q209" s="2"/>
      <c r="R209" s="2"/>
      <c r="S209" s="2"/>
      <c r="T209" s="2"/>
      <c r="U209" s="2"/>
      <c r="V209" s="2"/>
      <c r="W209" s="2"/>
      <c r="X209" s="2"/>
      <c r="Y209" s="2"/>
      <c r="Z209" s="1"/>
      <c r="AA209" s="1"/>
      <c r="AB209" s="1"/>
      <c r="AC209" s="1"/>
      <c r="AD209" s="1"/>
      <c r="AE209" s="1"/>
      <c r="AF209" s="1"/>
      <c r="AG209" s="1"/>
      <c r="AH209" s="1"/>
      <c r="AI209" s="1"/>
      <c r="AJ209" s="1"/>
      <c r="AK209" s="1"/>
    </row>
    <row r="210" ht="30.0" customHeight="1">
      <c r="A210" s="1"/>
      <c r="B210" s="1"/>
      <c r="C210" s="2"/>
      <c r="D210" s="2"/>
      <c r="E210" s="2"/>
      <c r="F210" s="2"/>
      <c r="G210" s="2"/>
      <c r="H210" s="2"/>
      <c r="I210" s="2"/>
      <c r="J210" s="2"/>
      <c r="K210" s="2"/>
      <c r="L210" s="2"/>
      <c r="M210" s="2"/>
      <c r="N210" s="1"/>
      <c r="O210" s="2"/>
      <c r="P210" s="2"/>
      <c r="Q210" s="2"/>
      <c r="R210" s="2"/>
      <c r="S210" s="2"/>
      <c r="T210" s="2"/>
      <c r="U210" s="2"/>
      <c r="V210" s="2"/>
      <c r="W210" s="2"/>
      <c r="X210" s="2"/>
      <c r="Y210" s="2"/>
      <c r="Z210" s="1"/>
      <c r="AA210" s="1"/>
      <c r="AB210" s="1"/>
      <c r="AC210" s="1"/>
      <c r="AD210" s="1"/>
      <c r="AE210" s="1"/>
      <c r="AF210" s="1"/>
      <c r="AG210" s="1"/>
      <c r="AH210" s="1"/>
      <c r="AI210" s="1"/>
      <c r="AJ210" s="1"/>
      <c r="AK210" s="1"/>
    </row>
    <row r="211" ht="30.0" customHeight="1">
      <c r="A211" s="1"/>
      <c r="B211" s="1"/>
      <c r="C211" s="2"/>
      <c r="D211" s="2"/>
      <c r="E211" s="2"/>
      <c r="F211" s="2"/>
      <c r="G211" s="2"/>
      <c r="H211" s="2"/>
      <c r="I211" s="2"/>
      <c r="J211" s="2"/>
      <c r="K211" s="2"/>
      <c r="L211" s="2"/>
      <c r="M211" s="2"/>
      <c r="N211" s="1"/>
      <c r="O211" s="2"/>
      <c r="P211" s="2"/>
      <c r="Q211" s="2"/>
      <c r="R211" s="2"/>
      <c r="S211" s="2"/>
      <c r="T211" s="2"/>
      <c r="U211" s="2"/>
      <c r="V211" s="2"/>
      <c r="W211" s="2"/>
      <c r="X211" s="2"/>
      <c r="Y211" s="2"/>
      <c r="Z211" s="1"/>
      <c r="AA211" s="1"/>
      <c r="AB211" s="1"/>
      <c r="AC211" s="1"/>
      <c r="AD211" s="1"/>
      <c r="AE211" s="1"/>
      <c r="AF211" s="1"/>
      <c r="AG211" s="1"/>
      <c r="AH211" s="1"/>
      <c r="AI211" s="1"/>
      <c r="AJ211" s="1"/>
      <c r="AK211" s="1"/>
    </row>
    <row r="212" ht="30.0" customHeight="1">
      <c r="A212" s="1"/>
      <c r="B212" s="1"/>
      <c r="C212" s="2"/>
      <c r="D212" s="2"/>
      <c r="E212" s="2"/>
      <c r="F212" s="2"/>
      <c r="G212" s="2"/>
      <c r="H212" s="2"/>
      <c r="I212" s="2"/>
      <c r="J212" s="2"/>
      <c r="K212" s="2"/>
      <c r="L212" s="2"/>
      <c r="M212" s="2"/>
      <c r="N212" s="1"/>
      <c r="O212" s="2"/>
      <c r="P212" s="2"/>
      <c r="Q212" s="2"/>
      <c r="R212" s="2"/>
      <c r="S212" s="2"/>
      <c r="T212" s="2"/>
      <c r="U212" s="2"/>
      <c r="V212" s="2"/>
      <c r="W212" s="2"/>
      <c r="X212" s="2"/>
      <c r="Y212" s="2"/>
      <c r="Z212" s="1"/>
      <c r="AA212" s="1"/>
      <c r="AB212" s="1"/>
      <c r="AC212" s="1"/>
      <c r="AD212" s="1"/>
      <c r="AE212" s="1"/>
      <c r="AF212" s="1"/>
      <c r="AG212" s="1"/>
      <c r="AH212" s="1"/>
      <c r="AI212" s="1"/>
      <c r="AJ212" s="1"/>
      <c r="AK212" s="1"/>
    </row>
    <row r="213" ht="30.0" customHeight="1">
      <c r="A213" s="1"/>
      <c r="B213" s="1"/>
      <c r="C213" s="2"/>
      <c r="D213" s="2"/>
      <c r="E213" s="2"/>
      <c r="F213" s="2"/>
      <c r="G213" s="2"/>
      <c r="H213" s="2"/>
      <c r="I213" s="2"/>
      <c r="J213" s="2"/>
      <c r="K213" s="2"/>
      <c r="L213" s="2"/>
      <c r="M213" s="2"/>
      <c r="N213" s="1"/>
      <c r="O213" s="2"/>
      <c r="P213" s="2"/>
      <c r="Q213" s="2"/>
      <c r="R213" s="2"/>
      <c r="S213" s="2"/>
      <c r="T213" s="2"/>
      <c r="U213" s="2"/>
      <c r="V213" s="2"/>
      <c r="W213" s="2"/>
      <c r="X213" s="2"/>
      <c r="Y213" s="2"/>
      <c r="Z213" s="1"/>
      <c r="AA213" s="1"/>
      <c r="AB213" s="1"/>
      <c r="AC213" s="1"/>
      <c r="AD213" s="1"/>
      <c r="AE213" s="1"/>
      <c r="AF213" s="1"/>
      <c r="AG213" s="1"/>
      <c r="AH213" s="1"/>
      <c r="AI213" s="1"/>
      <c r="AJ213" s="1"/>
      <c r="AK213" s="1"/>
    </row>
    <row r="214" ht="30.0" customHeight="1">
      <c r="A214" s="1"/>
      <c r="B214" s="1"/>
      <c r="C214" s="2"/>
      <c r="D214" s="2"/>
      <c r="E214" s="2"/>
      <c r="F214" s="2"/>
      <c r="G214" s="2"/>
      <c r="H214" s="2"/>
      <c r="I214" s="2"/>
      <c r="J214" s="2"/>
      <c r="K214" s="2"/>
      <c r="L214" s="2"/>
      <c r="M214" s="2"/>
      <c r="N214" s="1"/>
      <c r="O214" s="2"/>
      <c r="P214" s="2"/>
      <c r="Q214" s="2"/>
      <c r="R214" s="2"/>
      <c r="S214" s="2"/>
      <c r="T214" s="2"/>
      <c r="U214" s="2"/>
      <c r="V214" s="2"/>
      <c r="W214" s="2"/>
      <c r="X214" s="2"/>
      <c r="Y214" s="2"/>
      <c r="Z214" s="1"/>
      <c r="AA214" s="1"/>
      <c r="AB214" s="1"/>
      <c r="AC214" s="1"/>
      <c r="AD214" s="1"/>
      <c r="AE214" s="1"/>
      <c r="AF214" s="1"/>
      <c r="AG214" s="1"/>
      <c r="AH214" s="1"/>
      <c r="AI214" s="1"/>
      <c r="AJ214" s="1"/>
      <c r="AK214" s="1"/>
    </row>
    <row r="215" ht="30.0" customHeight="1">
      <c r="A215" s="1"/>
      <c r="B215" s="1"/>
      <c r="C215" s="2"/>
      <c r="D215" s="2"/>
      <c r="E215" s="2"/>
      <c r="F215" s="2"/>
      <c r="G215" s="2"/>
      <c r="H215" s="2"/>
      <c r="I215" s="2"/>
      <c r="J215" s="2"/>
      <c r="K215" s="2"/>
      <c r="L215" s="2"/>
      <c r="M215" s="2"/>
      <c r="N215" s="1"/>
      <c r="O215" s="2"/>
      <c r="P215" s="2"/>
      <c r="Q215" s="2"/>
      <c r="R215" s="2"/>
      <c r="S215" s="2"/>
      <c r="T215" s="2"/>
      <c r="U215" s="2"/>
      <c r="V215" s="2"/>
      <c r="W215" s="2"/>
      <c r="X215" s="2"/>
      <c r="Y215" s="2"/>
      <c r="Z215" s="1"/>
      <c r="AA215" s="1"/>
      <c r="AB215" s="1"/>
      <c r="AC215" s="1"/>
      <c r="AD215" s="1"/>
      <c r="AE215" s="1"/>
      <c r="AF215" s="1"/>
      <c r="AG215" s="1"/>
      <c r="AH215" s="1"/>
      <c r="AI215" s="1"/>
      <c r="AJ215" s="1"/>
      <c r="AK215" s="1"/>
    </row>
    <row r="216" ht="30.0" customHeight="1">
      <c r="A216" s="1"/>
      <c r="B216" s="1"/>
      <c r="C216" s="2"/>
      <c r="D216" s="2"/>
      <c r="E216" s="2"/>
      <c r="F216" s="2"/>
      <c r="G216" s="2"/>
      <c r="H216" s="2"/>
      <c r="I216" s="2"/>
      <c r="J216" s="2"/>
      <c r="K216" s="2"/>
      <c r="L216" s="2"/>
      <c r="M216" s="2"/>
      <c r="N216" s="1"/>
      <c r="O216" s="2"/>
      <c r="P216" s="2"/>
      <c r="Q216" s="2"/>
      <c r="R216" s="2"/>
      <c r="S216" s="2"/>
      <c r="T216" s="2"/>
      <c r="U216" s="2"/>
      <c r="V216" s="2"/>
      <c r="W216" s="2"/>
      <c r="X216" s="2"/>
      <c r="Y216" s="2"/>
      <c r="Z216" s="1"/>
      <c r="AA216" s="1"/>
      <c r="AB216" s="1"/>
      <c r="AC216" s="1"/>
      <c r="AD216" s="1"/>
      <c r="AE216" s="1"/>
      <c r="AF216" s="1"/>
      <c r="AG216" s="1"/>
      <c r="AH216" s="1"/>
      <c r="AI216" s="1"/>
      <c r="AJ216" s="1"/>
      <c r="AK216" s="1"/>
    </row>
    <row r="217" ht="30.0" customHeight="1">
      <c r="A217" s="1"/>
      <c r="B217" s="1"/>
      <c r="C217" s="2"/>
      <c r="D217" s="2"/>
      <c r="E217" s="2"/>
      <c r="F217" s="2"/>
      <c r="G217" s="2"/>
      <c r="H217" s="2"/>
      <c r="I217" s="2"/>
      <c r="J217" s="2"/>
      <c r="K217" s="2"/>
      <c r="L217" s="2"/>
      <c r="M217" s="2"/>
      <c r="N217" s="1"/>
      <c r="O217" s="2"/>
      <c r="P217" s="2"/>
      <c r="Q217" s="2"/>
      <c r="R217" s="2"/>
      <c r="S217" s="2"/>
      <c r="T217" s="2"/>
      <c r="U217" s="2"/>
      <c r="V217" s="2"/>
      <c r="W217" s="2"/>
      <c r="X217" s="2"/>
      <c r="Y217" s="2"/>
      <c r="Z217" s="1"/>
      <c r="AA217" s="1"/>
      <c r="AB217" s="1"/>
      <c r="AC217" s="1"/>
      <c r="AD217" s="1"/>
      <c r="AE217" s="1"/>
      <c r="AF217" s="1"/>
      <c r="AG217" s="1"/>
      <c r="AH217" s="1"/>
      <c r="AI217" s="1"/>
      <c r="AJ217" s="1"/>
      <c r="AK217" s="1"/>
    </row>
    <row r="218" ht="30.0" customHeight="1">
      <c r="A218" s="1"/>
      <c r="B218" s="1"/>
      <c r="C218" s="2"/>
      <c r="D218" s="2"/>
      <c r="E218" s="2"/>
      <c r="F218" s="2"/>
      <c r="G218" s="2"/>
      <c r="H218" s="2"/>
      <c r="I218" s="2"/>
      <c r="J218" s="2"/>
      <c r="K218" s="2"/>
      <c r="L218" s="2"/>
      <c r="M218" s="2"/>
      <c r="N218" s="1"/>
      <c r="O218" s="2"/>
      <c r="P218" s="2"/>
      <c r="Q218" s="2"/>
      <c r="R218" s="2"/>
      <c r="S218" s="2"/>
      <c r="T218" s="2"/>
      <c r="U218" s="2"/>
      <c r="V218" s="2"/>
      <c r="W218" s="2"/>
      <c r="X218" s="2"/>
      <c r="Y218" s="2"/>
      <c r="Z218" s="1"/>
      <c r="AA218" s="1"/>
      <c r="AB218" s="1"/>
      <c r="AC218" s="1"/>
      <c r="AD218" s="1"/>
      <c r="AE218" s="1"/>
      <c r="AF218" s="1"/>
      <c r="AG218" s="1"/>
      <c r="AH218" s="1"/>
      <c r="AI218" s="1"/>
      <c r="AJ218" s="1"/>
      <c r="AK218" s="1"/>
    </row>
    <row r="219" ht="30.0" customHeight="1">
      <c r="A219" s="1"/>
      <c r="B219" s="1"/>
      <c r="C219" s="2"/>
      <c r="D219" s="2"/>
      <c r="E219" s="2"/>
      <c r="F219" s="2"/>
      <c r="G219" s="2"/>
      <c r="H219" s="2"/>
      <c r="I219" s="2"/>
      <c r="J219" s="2"/>
      <c r="K219" s="2"/>
      <c r="L219" s="2"/>
      <c r="M219" s="2"/>
      <c r="N219" s="1"/>
      <c r="O219" s="2"/>
      <c r="P219" s="2"/>
      <c r="Q219" s="2"/>
      <c r="R219" s="2"/>
      <c r="S219" s="2"/>
      <c r="T219" s="2"/>
      <c r="U219" s="2"/>
      <c r="V219" s="2"/>
      <c r="W219" s="2"/>
      <c r="X219" s="2"/>
      <c r="Y219" s="2"/>
      <c r="Z219" s="1"/>
      <c r="AA219" s="1"/>
      <c r="AB219" s="1"/>
      <c r="AC219" s="1"/>
      <c r="AD219" s="1"/>
      <c r="AE219" s="1"/>
      <c r="AF219" s="1"/>
      <c r="AG219" s="1"/>
      <c r="AH219" s="1"/>
      <c r="AI219" s="1"/>
      <c r="AJ219" s="1"/>
      <c r="AK219" s="1"/>
    </row>
    <row r="220" ht="30.0" customHeight="1">
      <c r="A220" s="1"/>
      <c r="B220" s="1"/>
      <c r="C220" s="2"/>
      <c r="D220" s="2"/>
      <c r="E220" s="2"/>
      <c r="F220" s="2"/>
      <c r="G220" s="2"/>
      <c r="H220" s="2"/>
      <c r="I220" s="2"/>
      <c r="J220" s="2"/>
      <c r="K220" s="2"/>
      <c r="L220" s="2"/>
      <c r="M220" s="2"/>
      <c r="N220" s="1"/>
      <c r="O220" s="2"/>
      <c r="P220" s="2"/>
      <c r="Q220" s="2"/>
      <c r="R220" s="2"/>
      <c r="S220" s="2"/>
      <c r="T220" s="2"/>
      <c r="U220" s="2"/>
      <c r="V220" s="2"/>
      <c r="W220" s="2"/>
      <c r="X220" s="2"/>
      <c r="Y220" s="2"/>
      <c r="Z220" s="1"/>
      <c r="AA220" s="1"/>
      <c r="AB220" s="1"/>
      <c r="AC220" s="1"/>
      <c r="AD220" s="1"/>
      <c r="AE220" s="1"/>
      <c r="AF220" s="1"/>
      <c r="AG220" s="1"/>
      <c r="AH220" s="1"/>
      <c r="AI220" s="1"/>
      <c r="AJ220" s="1"/>
      <c r="AK220" s="1"/>
    </row>
    <row r="221" ht="30.0" customHeight="1">
      <c r="A221" s="1"/>
      <c r="B221" s="1"/>
      <c r="C221" s="2"/>
      <c r="D221" s="2"/>
      <c r="E221" s="2"/>
      <c r="F221" s="2"/>
      <c r="G221" s="2"/>
      <c r="H221" s="2"/>
      <c r="I221" s="2"/>
      <c r="J221" s="2"/>
      <c r="K221" s="2"/>
      <c r="L221" s="2"/>
      <c r="M221" s="2"/>
      <c r="N221" s="1"/>
      <c r="O221" s="2"/>
      <c r="P221" s="2"/>
      <c r="Q221" s="2"/>
      <c r="R221" s="2"/>
      <c r="S221" s="2"/>
      <c r="T221" s="2"/>
      <c r="U221" s="2"/>
      <c r="V221" s="2"/>
      <c r="W221" s="2"/>
      <c r="X221" s="2"/>
      <c r="Y221" s="2"/>
      <c r="Z221" s="1"/>
      <c r="AA221" s="1"/>
      <c r="AB221" s="1"/>
      <c r="AC221" s="1"/>
      <c r="AD221" s="1"/>
      <c r="AE221" s="1"/>
      <c r="AF221" s="1"/>
      <c r="AG221" s="1"/>
      <c r="AH221" s="1"/>
      <c r="AI221" s="1"/>
      <c r="AJ221" s="1"/>
      <c r="AK221" s="1"/>
    </row>
    <row r="222" ht="30.0" customHeight="1">
      <c r="A222" s="1"/>
      <c r="B222" s="1"/>
      <c r="C222" s="2"/>
      <c r="D222" s="2"/>
      <c r="E222" s="2"/>
      <c r="F222" s="2"/>
      <c r="G222" s="2"/>
      <c r="H222" s="2"/>
      <c r="I222" s="2"/>
      <c r="J222" s="2"/>
      <c r="K222" s="2"/>
      <c r="L222" s="2"/>
      <c r="M222" s="2"/>
      <c r="N222" s="1"/>
      <c r="O222" s="2"/>
      <c r="P222" s="2"/>
      <c r="Q222" s="2"/>
      <c r="R222" s="2"/>
      <c r="S222" s="2"/>
      <c r="T222" s="2"/>
      <c r="U222" s="2"/>
      <c r="V222" s="2"/>
      <c r="W222" s="2"/>
      <c r="X222" s="2"/>
      <c r="Y222" s="2"/>
      <c r="Z222" s="1"/>
      <c r="AA222" s="1"/>
      <c r="AB222" s="1"/>
      <c r="AC222" s="1"/>
      <c r="AD222" s="1"/>
      <c r="AE222" s="1"/>
      <c r="AF222" s="1"/>
      <c r="AG222" s="1"/>
      <c r="AH222" s="1"/>
      <c r="AI222" s="1"/>
      <c r="AJ222" s="1"/>
      <c r="AK222" s="1"/>
    </row>
    <row r="223" ht="30.0" customHeight="1">
      <c r="A223" s="1"/>
      <c r="B223" s="1"/>
      <c r="C223" s="2"/>
      <c r="D223" s="2"/>
      <c r="E223" s="2"/>
      <c r="F223" s="2"/>
      <c r="G223" s="2"/>
      <c r="H223" s="2"/>
      <c r="I223" s="2"/>
      <c r="J223" s="2"/>
      <c r="K223" s="2"/>
      <c r="L223" s="2"/>
      <c r="M223" s="2"/>
      <c r="N223" s="1"/>
      <c r="O223" s="2"/>
      <c r="P223" s="2"/>
      <c r="Q223" s="2"/>
      <c r="R223" s="2"/>
      <c r="S223" s="2"/>
      <c r="T223" s="2"/>
      <c r="U223" s="2"/>
      <c r="V223" s="2"/>
      <c r="W223" s="2"/>
      <c r="X223" s="2"/>
      <c r="Y223" s="2"/>
      <c r="Z223" s="1"/>
      <c r="AA223" s="1"/>
      <c r="AB223" s="1"/>
      <c r="AC223" s="1"/>
      <c r="AD223" s="1"/>
      <c r="AE223" s="1"/>
      <c r="AF223" s="1"/>
      <c r="AG223" s="1"/>
      <c r="AH223" s="1"/>
      <c r="AI223" s="1"/>
      <c r="AJ223" s="1"/>
      <c r="AK223" s="1"/>
    </row>
    <row r="224" ht="30.0" customHeight="1">
      <c r="A224" s="1"/>
      <c r="B224" s="1"/>
      <c r="C224" s="2"/>
      <c r="D224" s="2"/>
      <c r="E224" s="2"/>
      <c r="F224" s="2"/>
      <c r="G224" s="2"/>
      <c r="H224" s="2"/>
      <c r="I224" s="2"/>
      <c r="J224" s="2"/>
      <c r="K224" s="2"/>
      <c r="L224" s="2"/>
      <c r="M224" s="2"/>
      <c r="N224" s="1"/>
      <c r="O224" s="2"/>
      <c r="P224" s="2"/>
      <c r="Q224" s="2"/>
      <c r="R224" s="2"/>
      <c r="S224" s="2"/>
      <c r="T224" s="2"/>
      <c r="U224" s="2"/>
      <c r="V224" s="2"/>
      <c r="W224" s="2"/>
      <c r="X224" s="2"/>
      <c r="Y224" s="2"/>
      <c r="Z224" s="1"/>
      <c r="AA224" s="1"/>
      <c r="AB224" s="1"/>
      <c r="AC224" s="1"/>
      <c r="AD224" s="1"/>
      <c r="AE224" s="1"/>
      <c r="AF224" s="1"/>
      <c r="AG224" s="1"/>
      <c r="AH224" s="1"/>
      <c r="AI224" s="1"/>
      <c r="AJ224" s="1"/>
      <c r="AK224" s="1"/>
    </row>
    <row r="225" ht="30.0" customHeight="1">
      <c r="A225" s="1"/>
      <c r="B225" s="1"/>
      <c r="C225" s="2"/>
      <c r="D225" s="2"/>
      <c r="E225" s="2"/>
      <c r="F225" s="2"/>
      <c r="G225" s="2"/>
      <c r="H225" s="2"/>
      <c r="I225" s="2"/>
      <c r="J225" s="2"/>
      <c r="K225" s="2"/>
      <c r="L225" s="2"/>
      <c r="M225" s="2"/>
      <c r="N225" s="1"/>
      <c r="O225" s="2"/>
      <c r="P225" s="2"/>
      <c r="Q225" s="2"/>
      <c r="R225" s="2"/>
      <c r="S225" s="2"/>
      <c r="T225" s="2"/>
      <c r="U225" s="2"/>
      <c r="V225" s="2"/>
      <c r="W225" s="2"/>
      <c r="X225" s="2"/>
      <c r="Y225" s="2"/>
      <c r="Z225" s="1"/>
      <c r="AA225" s="1"/>
      <c r="AB225" s="1"/>
      <c r="AC225" s="1"/>
      <c r="AD225" s="1"/>
      <c r="AE225" s="1"/>
      <c r="AF225" s="1"/>
      <c r="AG225" s="1"/>
      <c r="AH225" s="1"/>
      <c r="AI225" s="1"/>
      <c r="AJ225" s="1"/>
      <c r="AK225" s="1"/>
    </row>
    <row r="226" ht="30.0" customHeight="1">
      <c r="A226" s="1"/>
      <c r="B226" s="1"/>
      <c r="C226" s="2"/>
      <c r="D226" s="2"/>
      <c r="E226" s="2"/>
      <c r="F226" s="2"/>
      <c r="G226" s="2"/>
      <c r="H226" s="2"/>
      <c r="I226" s="2"/>
      <c r="J226" s="2"/>
      <c r="K226" s="2"/>
      <c r="L226" s="2"/>
      <c r="M226" s="2"/>
      <c r="N226" s="1"/>
      <c r="O226" s="2"/>
      <c r="P226" s="2"/>
      <c r="Q226" s="2"/>
      <c r="R226" s="2"/>
      <c r="S226" s="2"/>
      <c r="T226" s="2"/>
      <c r="U226" s="2"/>
      <c r="V226" s="2"/>
      <c r="W226" s="2"/>
      <c r="X226" s="2"/>
      <c r="Y226" s="2"/>
      <c r="Z226" s="1"/>
      <c r="AA226" s="1"/>
      <c r="AB226" s="1"/>
      <c r="AC226" s="1"/>
      <c r="AD226" s="1"/>
      <c r="AE226" s="1"/>
      <c r="AF226" s="1"/>
      <c r="AG226" s="1"/>
      <c r="AH226" s="1"/>
      <c r="AI226" s="1"/>
      <c r="AJ226" s="1"/>
      <c r="AK226" s="1"/>
    </row>
    <row r="227" ht="30.0" customHeight="1">
      <c r="A227" s="1"/>
      <c r="B227" s="1"/>
      <c r="C227" s="2"/>
      <c r="D227" s="2"/>
      <c r="E227" s="2"/>
      <c r="F227" s="2"/>
      <c r="G227" s="2"/>
      <c r="H227" s="2"/>
      <c r="I227" s="2"/>
      <c r="J227" s="2"/>
      <c r="K227" s="2"/>
      <c r="L227" s="2"/>
      <c r="M227" s="2"/>
      <c r="N227" s="1"/>
      <c r="O227" s="2"/>
      <c r="P227" s="2"/>
      <c r="Q227" s="2"/>
      <c r="R227" s="2"/>
      <c r="S227" s="2"/>
      <c r="T227" s="2"/>
      <c r="U227" s="2"/>
      <c r="V227" s="2"/>
      <c r="W227" s="2"/>
      <c r="X227" s="2"/>
      <c r="Y227" s="2"/>
      <c r="Z227" s="1"/>
      <c r="AA227" s="1"/>
      <c r="AB227" s="1"/>
      <c r="AC227" s="1"/>
      <c r="AD227" s="1"/>
      <c r="AE227" s="1"/>
      <c r="AF227" s="1"/>
      <c r="AG227" s="1"/>
      <c r="AH227" s="1"/>
      <c r="AI227" s="1"/>
      <c r="AJ227" s="1"/>
      <c r="AK227" s="1"/>
    </row>
    <row r="228" ht="30.0" customHeight="1">
      <c r="A228" s="1"/>
      <c r="B228" s="1"/>
      <c r="C228" s="2"/>
      <c r="D228" s="2"/>
      <c r="E228" s="2"/>
      <c r="F228" s="2"/>
      <c r="G228" s="2"/>
      <c r="H228" s="2"/>
      <c r="I228" s="2"/>
      <c r="J228" s="2"/>
      <c r="K228" s="2"/>
      <c r="L228" s="2"/>
      <c r="M228" s="2"/>
      <c r="N228" s="1"/>
      <c r="O228" s="2"/>
      <c r="P228" s="2"/>
      <c r="Q228" s="2"/>
      <c r="R228" s="2"/>
      <c r="S228" s="2"/>
      <c r="T228" s="2"/>
      <c r="U228" s="2"/>
      <c r="V228" s="2"/>
      <c r="W228" s="2"/>
      <c r="X228" s="2"/>
      <c r="Y228" s="2"/>
      <c r="Z228" s="1"/>
      <c r="AA228" s="1"/>
      <c r="AB228" s="1"/>
      <c r="AC228" s="1"/>
      <c r="AD228" s="1"/>
      <c r="AE228" s="1"/>
      <c r="AF228" s="1"/>
      <c r="AG228" s="1"/>
      <c r="AH228" s="1"/>
      <c r="AI228" s="1"/>
      <c r="AJ228" s="1"/>
      <c r="AK228" s="1"/>
    </row>
    <row r="229" ht="30.0" customHeight="1">
      <c r="A229" s="1"/>
      <c r="B229" s="1"/>
      <c r="C229" s="2"/>
      <c r="D229" s="2"/>
      <c r="E229" s="2"/>
      <c r="F229" s="2"/>
      <c r="G229" s="2"/>
      <c r="H229" s="2"/>
      <c r="I229" s="2"/>
      <c r="J229" s="2"/>
      <c r="K229" s="2"/>
      <c r="L229" s="2"/>
      <c r="M229" s="2"/>
      <c r="N229" s="1"/>
      <c r="O229" s="2"/>
      <c r="P229" s="2"/>
      <c r="Q229" s="2"/>
      <c r="R229" s="2"/>
      <c r="S229" s="2"/>
      <c r="T229" s="2"/>
      <c r="U229" s="2"/>
      <c r="V229" s="2"/>
      <c r="W229" s="2"/>
      <c r="X229" s="2"/>
      <c r="Y229" s="2"/>
      <c r="Z229" s="1"/>
      <c r="AA229" s="1"/>
      <c r="AB229" s="1"/>
      <c r="AC229" s="1"/>
      <c r="AD229" s="1"/>
      <c r="AE229" s="1"/>
      <c r="AF229" s="1"/>
      <c r="AG229" s="1"/>
      <c r="AH229" s="1"/>
      <c r="AI229" s="1"/>
      <c r="AJ229" s="1"/>
      <c r="AK229" s="1"/>
    </row>
    <row r="230" ht="30.0" customHeight="1">
      <c r="A230" s="1"/>
      <c r="B230" s="1"/>
      <c r="C230" s="2"/>
      <c r="D230" s="2"/>
      <c r="E230" s="2"/>
      <c r="F230" s="2"/>
      <c r="G230" s="2"/>
      <c r="H230" s="2"/>
      <c r="I230" s="2"/>
      <c r="J230" s="2"/>
      <c r="K230" s="2"/>
      <c r="L230" s="2"/>
      <c r="M230" s="2"/>
      <c r="N230" s="1"/>
      <c r="O230" s="2"/>
      <c r="P230" s="2"/>
      <c r="Q230" s="2"/>
      <c r="R230" s="2"/>
      <c r="S230" s="2"/>
      <c r="T230" s="2"/>
      <c r="U230" s="2"/>
      <c r="V230" s="2"/>
      <c r="W230" s="2"/>
      <c r="X230" s="2"/>
      <c r="Y230" s="2"/>
      <c r="Z230" s="1"/>
      <c r="AA230" s="1"/>
      <c r="AB230" s="1"/>
      <c r="AC230" s="1"/>
      <c r="AD230" s="1"/>
      <c r="AE230" s="1"/>
      <c r="AF230" s="1"/>
      <c r="AG230" s="1"/>
      <c r="AH230" s="1"/>
      <c r="AI230" s="1"/>
      <c r="AJ230" s="1"/>
      <c r="AK230" s="1"/>
    </row>
    <row r="231" ht="30.0" customHeight="1">
      <c r="A231" s="1"/>
      <c r="B231" s="1"/>
      <c r="C231" s="2"/>
      <c r="D231" s="2"/>
      <c r="E231" s="2"/>
      <c r="F231" s="2"/>
      <c r="G231" s="2"/>
      <c r="H231" s="2"/>
      <c r="I231" s="2"/>
      <c r="J231" s="2"/>
      <c r="K231" s="2"/>
      <c r="L231" s="2"/>
      <c r="M231" s="2"/>
      <c r="N231" s="1"/>
      <c r="O231" s="2"/>
      <c r="P231" s="2"/>
      <c r="Q231" s="2"/>
      <c r="R231" s="2"/>
      <c r="S231" s="2"/>
      <c r="T231" s="2"/>
      <c r="U231" s="2"/>
      <c r="V231" s="2"/>
      <c r="W231" s="2"/>
      <c r="X231" s="2"/>
      <c r="Y231" s="2"/>
      <c r="Z231" s="1"/>
      <c r="AA231" s="1"/>
      <c r="AB231" s="1"/>
      <c r="AC231" s="1"/>
      <c r="AD231" s="1"/>
      <c r="AE231" s="1"/>
      <c r="AF231" s="1"/>
      <c r="AG231" s="1"/>
      <c r="AH231" s="1"/>
      <c r="AI231" s="1"/>
      <c r="AJ231" s="1"/>
      <c r="AK231" s="1"/>
    </row>
    <row r="232" ht="30.0" customHeight="1">
      <c r="A232" s="1"/>
      <c r="B232" s="1"/>
      <c r="C232" s="2"/>
      <c r="D232" s="2"/>
      <c r="E232" s="2"/>
      <c r="F232" s="2"/>
      <c r="G232" s="2"/>
      <c r="H232" s="2"/>
      <c r="I232" s="2"/>
      <c r="J232" s="2"/>
      <c r="K232" s="2"/>
      <c r="L232" s="2"/>
      <c r="M232" s="2"/>
      <c r="N232" s="1"/>
      <c r="O232" s="2"/>
      <c r="P232" s="2"/>
      <c r="Q232" s="2"/>
      <c r="R232" s="2"/>
      <c r="S232" s="2"/>
      <c r="T232" s="2"/>
      <c r="U232" s="2"/>
      <c r="V232" s="2"/>
      <c r="W232" s="2"/>
      <c r="X232" s="2"/>
      <c r="Y232" s="2"/>
      <c r="Z232" s="1"/>
      <c r="AA232" s="1"/>
      <c r="AB232" s="1"/>
      <c r="AC232" s="1"/>
      <c r="AD232" s="1"/>
      <c r="AE232" s="1"/>
      <c r="AF232" s="1"/>
      <c r="AG232" s="1"/>
      <c r="AH232" s="1"/>
      <c r="AI232" s="1"/>
      <c r="AJ232" s="1"/>
      <c r="AK232" s="1"/>
    </row>
    <row r="233" ht="30.0" customHeight="1">
      <c r="A233" s="1"/>
      <c r="B233" s="1"/>
      <c r="C233" s="2"/>
      <c r="D233" s="2"/>
      <c r="E233" s="2"/>
      <c r="F233" s="2"/>
      <c r="G233" s="2"/>
      <c r="H233" s="2"/>
      <c r="I233" s="2"/>
      <c r="J233" s="2"/>
      <c r="K233" s="2"/>
      <c r="L233" s="2"/>
      <c r="M233" s="2"/>
      <c r="N233" s="1"/>
      <c r="O233" s="2"/>
      <c r="P233" s="2"/>
      <c r="Q233" s="2"/>
      <c r="R233" s="2"/>
      <c r="S233" s="2"/>
      <c r="T233" s="2"/>
      <c r="U233" s="2"/>
      <c r="V233" s="2"/>
      <c r="W233" s="2"/>
      <c r="X233" s="2"/>
      <c r="Y233" s="2"/>
      <c r="Z233" s="1"/>
      <c r="AA233" s="1"/>
      <c r="AB233" s="1"/>
      <c r="AC233" s="1"/>
      <c r="AD233" s="1"/>
      <c r="AE233" s="1"/>
      <c r="AF233" s="1"/>
      <c r="AG233" s="1"/>
      <c r="AH233" s="1"/>
      <c r="AI233" s="1"/>
      <c r="AJ233" s="1"/>
      <c r="AK233" s="1"/>
    </row>
    <row r="234" ht="30.0" customHeight="1">
      <c r="A234" s="1"/>
      <c r="B234" s="1"/>
      <c r="C234" s="2"/>
      <c r="D234" s="2"/>
      <c r="E234" s="2"/>
      <c r="F234" s="2"/>
      <c r="G234" s="2"/>
      <c r="H234" s="2"/>
      <c r="I234" s="2"/>
      <c r="J234" s="2"/>
      <c r="K234" s="2"/>
      <c r="L234" s="2"/>
      <c r="M234" s="2"/>
      <c r="N234" s="1"/>
      <c r="O234" s="2"/>
      <c r="P234" s="2"/>
      <c r="Q234" s="2"/>
      <c r="R234" s="2"/>
      <c r="S234" s="2"/>
      <c r="T234" s="2"/>
      <c r="U234" s="2"/>
      <c r="V234" s="2"/>
      <c r="W234" s="2"/>
      <c r="X234" s="2"/>
      <c r="Y234" s="2"/>
      <c r="Z234" s="1"/>
      <c r="AA234" s="1"/>
      <c r="AB234" s="1"/>
      <c r="AC234" s="1"/>
      <c r="AD234" s="1"/>
      <c r="AE234" s="1"/>
      <c r="AF234" s="1"/>
      <c r="AG234" s="1"/>
      <c r="AH234" s="1"/>
      <c r="AI234" s="1"/>
      <c r="AJ234" s="1"/>
      <c r="AK234" s="1"/>
    </row>
    <row r="235" ht="30.0" customHeight="1">
      <c r="A235" s="1"/>
      <c r="B235" s="1"/>
      <c r="C235" s="2"/>
      <c r="D235" s="2"/>
      <c r="E235" s="2"/>
      <c r="F235" s="2"/>
      <c r="G235" s="2"/>
      <c r="H235" s="2"/>
      <c r="I235" s="2"/>
      <c r="J235" s="2"/>
      <c r="K235" s="2"/>
      <c r="L235" s="2"/>
      <c r="M235" s="2"/>
      <c r="N235" s="1"/>
      <c r="O235" s="2"/>
      <c r="P235" s="2"/>
      <c r="Q235" s="2"/>
      <c r="R235" s="2"/>
      <c r="S235" s="2"/>
      <c r="T235" s="2"/>
      <c r="U235" s="2"/>
      <c r="V235" s="2"/>
      <c r="W235" s="2"/>
      <c r="X235" s="2"/>
      <c r="Y235" s="2"/>
      <c r="Z235" s="1"/>
      <c r="AA235" s="1"/>
      <c r="AB235" s="1"/>
      <c r="AC235" s="1"/>
      <c r="AD235" s="1"/>
      <c r="AE235" s="1"/>
      <c r="AF235" s="1"/>
      <c r="AG235" s="1"/>
      <c r="AH235" s="1"/>
      <c r="AI235" s="1"/>
      <c r="AJ235" s="1"/>
      <c r="AK235" s="1"/>
    </row>
    <row r="236" ht="30.0" customHeight="1">
      <c r="A236" s="1"/>
      <c r="B236" s="1"/>
      <c r="C236" s="2"/>
      <c r="D236" s="2"/>
      <c r="E236" s="2"/>
      <c r="F236" s="2"/>
      <c r="G236" s="2"/>
      <c r="H236" s="2"/>
      <c r="I236" s="2"/>
      <c r="J236" s="2"/>
      <c r="K236" s="2"/>
      <c r="L236" s="2"/>
      <c r="M236" s="2"/>
      <c r="N236" s="1"/>
      <c r="O236" s="2"/>
      <c r="P236" s="2"/>
      <c r="Q236" s="2"/>
      <c r="R236" s="2"/>
      <c r="S236" s="2"/>
      <c r="T236" s="2"/>
      <c r="U236" s="2"/>
      <c r="V236" s="2"/>
      <c r="W236" s="2"/>
      <c r="X236" s="2"/>
      <c r="Y236" s="2"/>
      <c r="Z236" s="1"/>
      <c r="AA236" s="1"/>
      <c r="AB236" s="1"/>
      <c r="AC236" s="1"/>
      <c r="AD236" s="1"/>
      <c r="AE236" s="1"/>
      <c r="AF236" s="1"/>
      <c r="AG236" s="1"/>
      <c r="AH236" s="1"/>
      <c r="AI236" s="1"/>
      <c r="AJ236" s="1"/>
      <c r="AK236" s="1"/>
    </row>
    <row r="237" ht="30.0" customHeight="1">
      <c r="A237" s="1"/>
      <c r="B237" s="1"/>
      <c r="C237" s="2"/>
      <c r="D237" s="2"/>
      <c r="E237" s="2"/>
      <c r="F237" s="2"/>
      <c r="G237" s="2"/>
      <c r="H237" s="2"/>
      <c r="I237" s="2"/>
      <c r="J237" s="2"/>
      <c r="K237" s="2"/>
      <c r="L237" s="2"/>
      <c r="M237" s="2"/>
      <c r="N237" s="1"/>
      <c r="O237" s="2"/>
      <c r="P237" s="2"/>
      <c r="Q237" s="2"/>
      <c r="R237" s="2"/>
      <c r="S237" s="2"/>
      <c r="T237" s="2"/>
      <c r="U237" s="2"/>
      <c r="V237" s="2"/>
      <c r="W237" s="2"/>
      <c r="X237" s="2"/>
      <c r="Y237" s="2"/>
      <c r="Z237" s="1"/>
      <c r="AA237" s="1"/>
      <c r="AB237" s="1"/>
      <c r="AC237" s="1"/>
      <c r="AD237" s="1"/>
      <c r="AE237" s="1"/>
      <c r="AF237" s="1"/>
      <c r="AG237" s="1"/>
      <c r="AH237" s="1"/>
      <c r="AI237" s="1"/>
      <c r="AJ237" s="1"/>
      <c r="AK237" s="1"/>
    </row>
    <row r="238" ht="30.0" customHeight="1">
      <c r="A238" s="1"/>
      <c r="B238" s="1"/>
      <c r="C238" s="2"/>
      <c r="D238" s="2"/>
      <c r="E238" s="2"/>
      <c r="F238" s="2"/>
      <c r="G238" s="2"/>
      <c r="H238" s="2"/>
      <c r="I238" s="2"/>
      <c r="J238" s="2"/>
      <c r="K238" s="2"/>
      <c r="L238" s="2"/>
      <c r="M238" s="2"/>
      <c r="N238" s="1"/>
      <c r="O238" s="2"/>
      <c r="P238" s="2"/>
      <c r="Q238" s="2"/>
      <c r="R238" s="2"/>
      <c r="S238" s="2"/>
      <c r="T238" s="2"/>
      <c r="U238" s="2"/>
      <c r="V238" s="2"/>
      <c r="W238" s="2"/>
      <c r="X238" s="2"/>
      <c r="Y238" s="2"/>
      <c r="Z238" s="1"/>
      <c r="AA238" s="1"/>
      <c r="AB238" s="1"/>
      <c r="AC238" s="1"/>
      <c r="AD238" s="1"/>
      <c r="AE238" s="1"/>
      <c r="AF238" s="1"/>
      <c r="AG238" s="1"/>
      <c r="AH238" s="1"/>
      <c r="AI238" s="1"/>
      <c r="AJ238" s="1"/>
      <c r="AK238" s="1"/>
    </row>
    <row r="239" ht="30.0" customHeight="1">
      <c r="A239" s="1"/>
      <c r="B239" s="1"/>
      <c r="C239" s="2"/>
      <c r="D239" s="2"/>
      <c r="E239" s="2"/>
      <c r="F239" s="2"/>
      <c r="G239" s="2"/>
      <c r="H239" s="2"/>
      <c r="I239" s="2"/>
      <c r="J239" s="2"/>
      <c r="K239" s="2"/>
      <c r="L239" s="2"/>
      <c r="M239" s="2"/>
      <c r="N239" s="1"/>
      <c r="O239" s="2"/>
      <c r="P239" s="2"/>
      <c r="Q239" s="2"/>
      <c r="R239" s="2"/>
      <c r="S239" s="2"/>
      <c r="T239" s="2"/>
      <c r="U239" s="2"/>
      <c r="V239" s="2"/>
      <c r="W239" s="2"/>
      <c r="X239" s="2"/>
      <c r="Y239" s="2"/>
      <c r="Z239" s="1"/>
      <c r="AA239" s="1"/>
      <c r="AB239" s="1"/>
      <c r="AC239" s="1"/>
      <c r="AD239" s="1"/>
      <c r="AE239" s="1"/>
      <c r="AF239" s="1"/>
      <c r="AG239" s="1"/>
      <c r="AH239" s="1"/>
      <c r="AI239" s="1"/>
      <c r="AJ239" s="1"/>
      <c r="AK239" s="1"/>
    </row>
    <row r="240" ht="30.0" customHeight="1">
      <c r="A240" s="1"/>
      <c r="B240" s="1"/>
      <c r="C240" s="2"/>
      <c r="D240" s="2"/>
      <c r="E240" s="2"/>
      <c r="F240" s="2"/>
      <c r="G240" s="2"/>
      <c r="H240" s="2"/>
      <c r="I240" s="2"/>
      <c r="J240" s="2"/>
      <c r="K240" s="2"/>
      <c r="L240" s="2"/>
      <c r="M240" s="2"/>
      <c r="N240" s="1"/>
      <c r="O240" s="2"/>
      <c r="P240" s="2"/>
      <c r="Q240" s="2"/>
      <c r="R240" s="2"/>
      <c r="S240" s="2"/>
      <c r="T240" s="2"/>
      <c r="U240" s="2"/>
      <c r="V240" s="2"/>
      <c r="W240" s="2"/>
      <c r="X240" s="2"/>
      <c r="Y240" s="2"/>
      <c r="Z240" s="1"/>
      <c r="AA240" s="1"/>
      <c r="AB240" s="1"/>
      <c r="AC240" s="1"/>
      <c r="AD240" s="1"/>
      <c r="AE240" s="1"/>
      <c r="AF240" s="1"/>
      <c r="AG240" s="1"/>
      <c r="AH240" s="1"/>
      <c r="AI240" s="1"/>
      <c r="AJ240" s="1"/>
      <c r="AK240" s="1"/>
    </row>
    <row r="241" ht="30.0" customHeight="1">
      <c r="A241" s="1"/>
      <c r="B241" s="1"/>
      <c r="C241" s="2"/>
      <c r="D241" s="2"/>
      <c r="E241" s="2"/>
      <c r="F241" s="2"/>
      <c r="G241" s="2"/>
      <c r="H241" s="2"/>
      <c r="I241" s="2"/>
      <c r="J241" s="2"/>
      <c r="K241" s="2"/>
      <c r="L241" s="2"/>
      <c r="M241" s="2"/>
      <c r="N241" s="1"/>
      <c r="O241" s="2"/>
      <c r="P241" s="2"/>
      <c r="Q241" s="2"/>
      <c r="R241" s="2"/>
      <c r="S241" s="2"/>
      <c r="T241" s="2"/>
      <c r="U241" s="2"/>
      <c r="V241" s="2"/>
      <c r="W241" s="2"/>
      <c r="X241" s="2"/>
      <c r="Y241" s="2"/>
      <c r="Z241" s="1"/>
      <c r="AA241" s="1"/>
      <c r="AB241" s="1"/>
      <c r="AC241" s="1"/>
      <c r="AD241" s="1"/>
      <c r="AE241" s="1"/>
      <c r="AF241" s="1"/>
      <c r="AG241" s="1"/>
      <c r="AH241" s="1"/>
      <c r="AI241" s="1"/>
      <c r="AJ241" s="1"/>
      <c r="AK241" s="1"/>
    </row>
    <row r="242" ht="30.0" customHeight="1">
      <c r="A242" s="1"/>
      <c r="B242" s="1"/>
      <c r="C242" s="2"/>
      <c r="D242" s="2"/>
      <c r="E242" s="2"/>
      <c r="F242" s="2"/>
      <c r="G242" s="2"/>
      <c r="H242" s="2"/>
      <c r="I242" s="2"/>
      <c r="J242" s="2"/>
      <c r="K242" s="2"/>
      <c r="L242" s="2"/>
      <c r="M242" s="2"/>
      <c r="N242" s="1"/>
      <c r="O242" s="2"/>
      <c r="P242" s="2"/>
      <c r="Q242" s="2"/>
      <c r="R242" s="2"/>
      <c r="S242" s="2"/>
      <c r="T242" s="2"/>
      <c r="U242" s="2"/>
      <c r="V242" s="2"/>
      <c r="W242" s="2"/>
      <c r="X242" s="2"/>
      <c r="Y242" s="2"/>
      <c r="Z242" s="1"/>
      <c r="AA242" s="1"/>
      <c r="AB242" s="1"/>
      <c r="AC242" s="1"/>
      <c r="AD242" s="1"/>
      <c r="AE242" s="1"/>
      <c r="AF242" s="1"/>
      <c r="AG242" s="1"/>
      <c r="AH242" s="1"/>
      <c r="AI242" s="1"/>
      <c r="AJ242" s="1"/>
      <c r="AK242" s="1"/>
    </row>
    <row r="243" ht="30.0" customHeight="1">
      <c r="A243" s="1"/>
      <c r="B243" s="1"/>
      <c r="C243" s="2"/>
      <c r="D243" s="2"/>
      <c r="E243" s="2"/>
      <c r="F243" s="2"/>
      <c r="G243" s="2"/>
      <c r="H243" s="2"/>
      <c r="I243" s="2"/>
      <c r="J243" s="2"/>
      <c r="K243" s="2"/>
      <c r="L243" s="2"/>
      <c r="M243" s="2"/>
      <c r="N243" s="1"/>
      <c r="O243" s="2"/>
      <c r="P243" s="2"/>
      <c r="Q243" s="2"/>
      <c r="R243" s="2"/>
      <c r="S243" s="2"/>
      <c r="T243" s="2"/>
      <c r="U243" s="2"/>
      <c r="V243" s="2"/>
      <c r="W243" s="2"/>
      <c r="X243" s="2"/>
      <c r="Y243" s="2"/>
      <c r="Z243" s="1"/>
      <c r="AA243" s="1"/>
      <c r="AB243" s="1"/>
      <c r="AC243" s="1"/>
      <c r="AD243" s="1"/>
      <c r="AE243" s="1"/>
      <c r="AF243" s="1"/>
      <c r="AG243" s="1"/>
      <c r="AH243" s="1"/>
      <c r="AI243" s="1"/>
      <c r="AJ243" s="1"/>
      <c r="AK243" s="1"/>
    </row>
    <row r="244" ht="30.0" customHeight="1">
      <c r="A244" s="1"/>
      <c r="B244" s="1"/>
      <c r="C244" s="2"/>
      <c r="D244" s="2"/>
      <c r="E244" s="2"/>
      <c r="F244" s="2"/>
      <c r="G244" s="2"/>
      <c r="H244" s="2"/>
      <c r="I244" s="2"/>
      <c r="J244" s="2"/>
      <c r="K244" s="2"/>
      <c r="L244" s="2"/>
      <c r="M244" s="2"/>
      <c r="N244" s="1"/>
      <c r="O244" s="2"/>
      <c r="P244" s="2"/>
      <c r="Q244" s="2"/>
      <c r="R244" s="2"/>
      <c r="S244" s="2"/>
      <c r="T244" s="2"/>
      <c r="U244" s="2"/>
      <c r="V244" s="2"/>
      <c r="W244" s="2"/>
      <c r="X244" s="2"/>
      <c r="Y244" s="2"/>
      <c r="Z244" s="1"/>
      <c r="AA244" s="1"/>
      <c r="AB244" s="1"/>
      <c r="AC244" s="1"/>
      <c r="AD244" s="1"/>
      <c r="AE244" s="1"/>
      <c r="AF244" s="1"/>
      <c r="AG244" s="1"/>
      <c r="AH244" s="1"/>
      <c r="AI244" s="1"/>
      <c r="AJ244" s="1"/>
      <c r="AK244" s="1"/>
    </row>
    <row r="245" ht="30.0" customHeight="1">
      <c r="A245" s="1"/>
      <c r="B245" s="1"/>
      <c r="C245" s="2"/>
      <c r="D245" s="2"/>
      <c r="E245" s="2"/>
      <c r="F245" s="2"/>
      <c r="G245" s="2"/>
      <c r="H245" s="2"/>
      <c r="I245" s="2"/>
      <c r="J245" s="2"/>
      <c r="K245" s="2"/>
      <c r="L245" s="2"/>
      <c r="M245" s="2"/>
      <c r="N245" s="1"/>
      <c r="O245" s="2"/>
      <c r="P245" s="2"/>
      <c r="Q245" s="2"/>
      <c r="R245" s="2"/>
      <c r="S245" s="2"/>
      <c r="T245" s="2"/>
      <c r="U245" s="2"/>
      <c r="V245" s="2"/>
      <c r="W245" s="2"/>
      <c r="X245" s="2"/>
      <c r="Y245" s="2"/>
      <c r="Z245" s="1"/>
      <c r="AA245" s="1"/>
      <c r="AB245" s="1"/>
      <c r="AC245" s="1"/>
      <c r="AD245" s="1"/>
      <c r="AE245" s="1"/>
      <c r="AF245" s="1"/>
      <c r="AG245" s="1"/>
      <c r="AH245" s="1"/>
      <c r="AI245" s="1"/>
      <c r="AJ245" s="1"/>
      <c r="AK245" s="1"/>
    </row>
    <row r="246" ht="30.0" customHeight="1">
      <c r="A246" s="1"/>
      <c r="B246" s="1"/>
      <c r="C246" s="2"/>
      <c r="D246" s="2"/>
      <c r="E246" s="2"/>
      <c r="F246" s="2"/>
      <c r="G246" s="2"/>
      <c r="H246" s="2"/>
      <c r="I246" s="2"/>
      <c r="J246" s="2"/>
      <c r="K246" s="2"/>
      <c r="L246" s="2"/>
      <c r="M246" s="2"/>
      <c r="N246" s="1"/>
      <c r="O246" s="2"/>
      <c r="P246" s="2"/>
      <c r="Q246" s="2"/>
      <c r="R246" s="2"/>
      <c r="S246" s="2"/>
      <c r="T246" s="2"/>
      <c r="U246" s="2"/>
      <c r="V246" s="2"/>
      <c r="W246" s="2"/>
      <c r="X246" s="2"/>
      <c r="Y246" s="2"/>
      <c r="Z246" s="1"/>
      <c r="AA246" s="1"/>
      <c r="AB246" s="1"/>
      <c r="AC246" s="1"/>
      <c r="AD246" s="1"/>
      <c r="AE246" s="1"/>
      <c r="AF246" s="1"/>
      <c r="AG246" s="1"/>
      <c r="AH246" s="1"/>
      <c r="AI246" s="1"/>
      <c r="AJ246" s="1"/>
      <c r="AK246" s="1"/>
    </row>
    <row r="247" ht="30.0" customHeight="1">
      <c r="A247" s="1"/>
      <c r="B247" s="1"/>
      <c r="C247" s="2"/>
      <c r="D247" s="2"/>
      <c r="E247" s="2"/>
      <c r="F247" s="2"/>
      <c r="G247" s="2"/>
      <c r="H247" s="2"/>
      <c r="I247" s="2"/>
      <c r="J247" s="2"/>
      <c r="K247" s="2"/>
      <c r="L247" s="2"/>
      <c r="M247" s="2"/>
      <c r="N247" s="1"/>
      <c r="O247" s="2"/>
      <c r="P247" s="2"/>
      <c r="Q247" s="2"/>
      <c r="R247" s="2"/>
      <c r="S247" s="2"/>
      <c r="T247" s="2"/>
      <c r="U247" s="2"/>
      <c r="V247" s="2"/>
      <c r="W247" s="2"/>
      <c r="X247" s="2"/>
      <c r="Y247" s="2"/>
      <c r="Z247" s="1"/>
      <c r="AA247" s="1"/>
      <c r="AB247" s="1"/>
      <c r="AC247" s="1"/>
      <c r="AD247" s="1"/>
      <c r="AE247" s="1"/>
      <c r="AF247" s="1"/>
      <c r="AG247" s="1"/>
      <c r="AH247" s="1"/>
      <c r="AI247" s="1"/>
      <c r="AJ247" s="1"/>
      <c r="AK247" s="1"/>
    </row>
    <row r="248" ht="30.0" customHeight="1">
      <c r="A248" s="1"/>
      <c r="B248" s="1"/>
      <c r="C248" s="2"/>
      <c r="D248" s="2"/>
      <c r="E248" s="2"/>
      <c r="F248" s="2"/>
      <c r="G248" s="2"/>
      <c r="H248" s="2"/>
      <c r="I248" s="2"/>
      <c r="J248" s="2"/>
      <c r="K248" s="2"/>
      <c r="L248" s="2"/>
      <c r="M248" s="2"/>
      <c r="N248" s="1"/>
      <c r="O248" s="2"/>
      <c r="P248" s="2"/>
      <c r="Q248" s="2"/>
      <c r="R248" s="2"/>
      <c r="S248" s="2"/>
      <c r="T248" s="2"/>
      <c r="U248" s="2"/>
      <c r="V248" s="2"/>
      <c r="W248" s="2"/>
      <c r="X248" s="2"/>
      <c r="Y248" s="2"/>
      <c r="Z248" s="1"/>
      <c r="AA248" s="1"/>
      <c r="AB248" s="1"/>
      <c r="AC248" s="1"/>
      <c r="AD248" s="1"/>
      <c r="AE248" s="1"/>
      <c r="AF248" s="1"/>
      <c r="AG248" s="1"/>
      <c r="AH248" s="1"/>
      <c r="AI248" s="1"/>
      <c r="AJ248" s="1"/>
      <c r="AK248" s="1"/>
    </row>
    <row r="249" ht="30.0" customHeight="1">
      <c r="A249" s="1"/>
      <c r="B249" s="1"/>
      <c r="C249" s="2"/>
      <c r="D249" s="2"/>
      <c r="E249" s="2"/>
      <c r="F249" s="2"/>
      <c r="G249" s="2"/>
      <c r="H249" s="2"/>
      <c r="I249" s="2"/>
      <c r="J249" s="2"/>
      <c r="K249" s="2"/>
      <c r="L249" s="2"/>
      <c r="M249" s="2"/>
      <c r="N249" s="1"/>
      <c r="O249" s="2"/>
      <c r="P249" s="2"/>
      <c r="Q249" s="2"/>
      <c r="R249" s="2"/>
      <c r="S249" s="2"/>
      <c r="T249" s="2"/>
      <c r="U249" s="2"/>
      <c r="V249" s="2"/>
      <c r="W249" s="2"/>
      <c r="X249" s="2"/>
      <c r="Y249" s="2"/>
      <c r="Z249" s="1"/>
      <c r="AA249" s="1"/>
      <c r="AB249" s="1"/>
      <c r="AC249" s="1"/>
      <c r="AD249" s="1"/>
      <c r="AE249" s="1"/>
      <c r="AF249" s="1"/>
      <c r="AG249" s="1"/>
      <c r="AH249" s="1"/>
      <c r="AI249" s="1"/>
      <c r="AJ249" s="1"/>
      <c r="AK249" s="1"/>
    </row>
    <row r="250" ht="30.0" customHeight="1">
      <c r="A250" s="1"/>
      <c r="B250" s="1"/>
      <c r="C250" s="2"/>
      <c r="D250" s="2"/>
      <c r="E250" s="2"/>
      <c r="F250" s="2"/>
      <c r="G250" s="2"/>
      <c r="H250" s="2"/>
      <c r="I250" s="2"/>
      <c r="J250" s="2"/>
      <c r="K250" s="2"/>
      <c r="L250" s="2"/>
      <c r="M250" s="2"/>
      <c r="N250" s="1"/>
      <c r="O250" s="2"/>
      <c r="P250" s="2"/>
      <c r="Q250" s="2"/>
      <c r="R250" s="2"/>
      <c r="S250" s="2"/>
      <c r="T250" s="2"/>
      <c r="U250" s="2"/>
      <c r="V250" s="2"/>
      <c r="W250" s="2"/>
      <c r="X250" s="2"/>
      <c r="Y250" s="2"/>
      <c r="Z250" s="1"/>
      <c r="AA250" s="1"/>
      <c r="AB250" s="1"/>
      <c r="AC250" s="1"/>
      <c r="AD250" s="1"/>
      <c r="AE250" s="1"/>
      <c r="AF250" s="1"/>
      <c r="AG250" s="1"/>
      <c r="AH250" s="1"/>
      <c r="AI250" s="1"/>
      <c r="AJ250" s="1"/>
      <c r="AK250" s="1"/>
    </row>
    <row r="251" ht="30.0" customHeight="1">
      <c r="A251" s="1"/>
      <c r="B251" s="1"/>
      <c r="C251" s="2"/>
      <c r="D251" s="2"/>
      <c r="E251" s="2"/>
      <c r="F251" s="2"/>
      <c r="G251" s="2"/>
      <c r="H251" s="2"/>
      <c r="I251" s="2"/>
      <c r="J251" s="2"/>
      <c r="K251" s="2"/>
      <c r="L251" s="2"/>
      <c r="M251" s="2"/>
      <c r="N251" s="1"/>
      <c r="O251" s="2"/>
      <c r="P251" s="2"/>
      <c r="Q251" s="2"/>
      <c r="R251" s="2"/>
      <c r="S251" s="2"/>
      <c r="T251" s="2"/>
      <c r="U251" s="2"/>
      <c r="V251" s="2"/>
      <c r="W251" s="2"/>
      <c r="X251" s="2"/>
      <c r="Y251" s="2"/>
      <c r="Z251" s="1"/>
      <c r="AA251" s="1"/>
      <c r="AB251" s="1"/>
      <c r="AC251" s="1"/>
      <c r="AD251" s="1"/>
      <c r="AE251" s="1"/>
      <c r="AF251" s="1"/>
      <c r="AG251" s="1"/>
      <c r="AH251" s="1"/>
      <c r="AI251" s="1"/>
      <c r="AJ251" s="1"/>
      <c r="AK251" s="1"/>
    </row>
    <row r="252" ht="30.0" customHeight="1">
      <c r="A252" s="1"/>
      <c r="B252" s="1"/>
      <c r="C252" s="2"/>
      <c r="D252" s="2"/>
      <c r="E252" s="2"/>
      <c r="F252" s="2"/>
      <c r="G252" s="2"/>
      <c r="H252" s="2"/>
      <c r="I252" s="2"/>
      <c r="J252" s="2"/>
      <c r="K252" s="2"/>
      <c r="L252" s="2"/>
      <c r="M252" s="2"/>
      <c r="N252" s="1"/>
      <c r="O252" s="2"/>
      <c r="P252" s="2"/>
      <c r="Q252" s="2"/>
      <c r="R252" s="2"/>
      <c r="S252" s="2"/>
      <c r="T252" s="2"/>
      <c r="U252" s="2"/>
      <c r="V252" s="2"/>
      <c r="W252" s="2"/>
      <c r="X252" s="2"/>
      <c r="Y252" s="2"/>
      <c r="Z252" s="1"/>
      <c r="AA252" s="1"/>
      <c r="AB252" s="1"/>
      <c r="AC252" s="1"/>
      <c r="AD252" s="1"/>
      <c r="AE252" s="1"/>
      <c r="AF252" s="1"/>
      <c r="AG252" s="1"/>
      <c r="AH252" s="1"/>
      <c r="AI252" s="1"/>
      <c r="AJ252" s="1"/>
      <c r="AK252" s="1"/>
    </row>
    <row r="253" ht="30.0" customHeight="1">
      <c r="A253" s="1"/>
      <c r="B253" s="1"/>
      <c r="C253" s="2"/>
      <c r="D253" s="2"/>
      <c r="E253" s="2"/>
      <c r="F253" s="2"/>
      <c r="G253" s="2"/>
      <c r="H253" s="2"/>
      <c r="I253" s="2"/>
      <c r="J253" s="2"/>
      <c r="K253" s="2"/>
      <c r="L253" s="2"/>
      <c r="M253" s="2"/>
      <c r="N253" s="1"/>
      <c r="O253" s="2"/>
      <c r="P253" s="2"/>
      <c r="Q253" s="2"/>
      <c r="R253" s="2"/>
      <c r="S253" s="2"/>
      <c r="T253" s="2"/>
      <c r="U253" s="2"/>
      <c r="V253" s="2"/>
      <c r="W253" s="2"/>
      <c r="X253" s="2"/>
      <c r="Y253" s="2"/>
      <c r="Z253" s="1"/>
      <c r="AA253" s="1"/>
      <c r="AB253" s="1"/>
      <c r="AC253" s="1"/>
      <c r="AD253" s="1"/>
      <c r="AE253" s="1"/>
      <c r="AF253" s="1"/>
      <c r="AG253" s="1"/>
      <c r="AH253" s="1"/>
      <c r="AI253" s="1"/>
      <c r="AJ253" s="1"/>
      <c r="AK253" s="1"/>
    </row>
    <row r="254" ht="30.0" customHeight="1">
      <c r="A254" s="1"/>
      <c r="B254" s="1"/>
      <c r="C254" s="2"/>
      <c r="D254" s="2"/>
      <c r="E254" s="2"/>
      <c r="F254" s="2"/>
      <c r="G254" s="2"/>
      <c r="H254" s="2"/>
      <c r="I254" s="2"/>
      <c r="J254" s="2"/>
      <c r="K254" s="2"/>
      <c r="L254" s="2"/>
      <c r="M254" s="2"/>
      <c r="N254" s="1"/>
      <c r="O254" s="2"/>
      <c r="P254" s="2"/>
      <c r="Q254" s="2"/>
      <c r="R254" s="2"/>
      <c r="S254" s="2"/>
      <c r="T254" s="2"/>
      <c r="U254" s="2"/>
      <c r="V254" s="2"/>
      <c r="W254" s="2"/>
      <c r="X254" s="2"/>
      <c r="Y254" s="2"/>
      <c r="Z254" s="1"/>
      <c r="AA254" s="1"/>
      <c r="AB254" s="1"/>
      <c r="AC254" s="1"/>
      <c r="AD254" s="1"/>
      <c r="AE254" s="1"/>
      <c r="AF254" s="1"/>
      <c r="AG254" s="1"/>
      <c r="AH254" s="1"/>
      <c r="AI254" s="1"/>
      <c r="AJ254" s="1"/>
      <c r="AK254" s="1"/>
    </row>
    <row r="255" ht="30.0" customHeight="1">
      <c r="A255" s="1"/>
      <c r="B255" s="1"/>
      <c r="C255" s="2"/>
      <c r="D255" s="2"/>
      <c r="E255" s="2"/>
      <c r="F255" s="2"/>
      <c r="G255" s="2"/>
      <c r="H255" s="2"/>
      <c r="I255" s="2"/>
      <c r="J255" s="2"/>
      <c r="K255" s="2"/>
      <c r="L255" s="2"/>
      <c r="M255" s="2"/>
      <c r="N255" s="1"/>
      <c r="O255" s="2"/>
      <c r="P255" s="2"/>
      <c r="Q255" s="2"/>
      <c r="R255" s="2"/>
      <c r="S255" s="2"/>
      <c r="T255" s="2"/>
      <c r="U255" s="2"/>
      <c r="V255" s="2"/>
      <c r="W255" s="2"/>
      <c r="X255" s="2"/>
      <c r="Y255" s="2"/>
      <c r="Z255" s="1"/>
      <c r="AA255" s="1"/>
      <c r="AB255" s="1"/>
      <c r="AC255" s="1"/>
      <c r="AD255" s="1"/>
      <c r="AE255" s="1"/>
      <c r="AF255" s="1"/>
      <c r="AG255" s="1"/>
      <c r="AH255" s="1"/>
      <c r="AI255" s="1"/>
      <c r="AJ255" s="1"/>
      <c r="AK255" s="1"/>
    </row>
    <row r="256" ht="30.0" customHeight="1">
      <c r="A256" s="1"/>
      <c r="B256" s="1"/>
      <c r="C256" s="2"/>
      <c r="D256" s="2"/>
      <c r="E256" s="2"/>
      <c r="F256" s="2"/>
      <c r="G256" s="2"/>
      <c r="H256" s="2"/>
      <c r="I256" s="2"/>
      <c r="J256" s="2"/>
      <c r="K256" s="2"/>
      <c r="L256" s="2"/>
      <c r="M256" s="2"/>
      <c r="N256" s="1"/>
      <c r="O256" s="2"/>
      <c r="P256" s="2"/>
      <c r="Q256" s="2"/>
      <c r="R256" s="2"/>
      <c r="S256" s="2"/>
      <c r="T256" s="2"/>
      <c r="U256" s="2"/>
      <c r="V256" s="2"/>
      <c r="W256" s="2"/>
      <c r="X256" s="2"/>
      <c r="Y256" s="2"/>
      <c r="Z256" s="1"/>
      <c r="AA256" s="1"/>
      <c r="AB256" s="1"/>
      <c r="AC256" s="1"/>
      <c r="AD256" s="1"/>
      <c r="AE256" s="1"/>
      <c r="AF256" s="1"/>
      <c r="AG256" s="1"/>
      <c r="AH256" s="1"/>
      <c r="AI256" s="1"/>
      <c r="AJ256" s="1"/>
      <c r="AK256" s="1"/>
    </row>
    <row r="257" ht="30.0" customHeight="1">
      <c r="A257" s="1"/>
      <c r="B257" s="1"/>
      <c r="C257" s="2"/>
      <c r="D257" s="2"/>
      <c r="E257" s="2"/>
      <c r="F257" s="2"/>
      <c r="G257" s="2"/>
      <c r="H257" s="2"/>
      <c r="I257" s="2"/>
      <c r="J257" s="2"/>
      <c r="K257" s="2"/>
      <c r="L257" s="2"/>
      <c r="M257" s="2"/>
      <c r="N257" s="1"/>
      <c r="O257" s="2"/>
      <c r="P257" s="2"/>
      <c r="Q257" s="2"/>
      <c r="R257" s="2"/>
      <c r="S257" s="2"/>
      <c r="T257" s="2"/>
      <c r="U257" s="2"/>
      <c r="V257" s="2"/>
      <c r="W257" s="2"/>
      <c r="X257" s="2"/>
      <c r="Y257" s="2"/>
      <c r="Z257" s="1"/>
      <c r="AA257" s="1"/>
      <c r="AB257" s="1"/>
      <c r="AC257" s="1"/>
      <c r="AD257" s="1"/>
      <c r="AE257" s="1"/>
      <c r="AF257" s="1"/>
      <c r="AG257" s="1"/>
      <c r="AH257" s="1"/>
      <c r="AI257" s="1"/>
      <c r="AJ257" s="1"/>
      <c r="AK257" s="1"/>
    </row>
    <row r="258" ht="30.0" customHeight="1">
      <c r="A258" s="1"/>
      <c r="B258" s="1"/>
      <c r="C258" s="2"/>
      <c r="D258" s="2"/>
      <c r="E258" s="2"/>
      <c r="F258" s="2"/>
      <c r="G258" s="2"/>
      <c r="H258" s="2"/>
      <c r="I258" s="2"/>
      <c r="J258" s="2"/>
      <c r="K258" s="2"/>
      <c r="L258" s="2"/>
      <c r="M258" s="2"/>
      <c r="N258" s="1"/>
      <c r="O258" s="2"/>
      <c r="P258" s="2"/>
      <c r="Q258" s="2"/>
      <c r="R258" s="2"/>
      <c r="S258" s="2"/>
      <c r="T258" s="2"/>
      <c r="U258" s="2"/>
      <c r="V258" s="2"/>
      <c r="W258" s="2"/>
      <c r="X258" s="2"/>
      <c r="Y258" s="2"/>
      <c r="Z258" s="1"/>
      <c r="AA258" s="1"/>
      <c r="AB258" s="1"/>
      <c r="AC258" s="1"/>
      <c r="AD258" s="1"/>
      <c r="AE258" s="1"/>
      <c r="AF258" s="1"/>
      <c r="AG258" s="1"/>
      <c r="AH258" s="1"/>
      <c r="AI258" s="1"/>
      <c r="AJ258" s="1"/>
      <c r="AK258" s="1"/>
    </row>
    <row r="259" ht="30.0" customHeight="1">
      <c r="A259" s="1"/>
      <c r="B259" s="1"/>
      <c r="C259" s="2"/>
      <c r="D259" s="2"/>
      <c r="E259" s="2"/>
      <c r="F259" s="2"/>
      <c r="G259" s="2"/>
      <c r="H259" s="2"/>
      <c r="I259" s="2"/>
      <c r="J259" s="2"/>
      <c r="K259" s="2"/>
      <c r="L259" s="2"/>
      <c r="M259" s="2"/>
      <c r="N259" s="1"/>
      <c r="O259" s="2"/>
      <c r="P259" s="2"/>
      <c r="Q259" s="2"/>
      <c r="R259" s="2"/>
      <c r="S259" s="2"/>
      <c r="T259" s="2"/>
      <c r="U259" s="2"/>
      <c r="V259" s="2"/>
      <c r="W259" s="2"/>
      <c r="X259" s="2"/>
      <c r="Y259" s="2"/>
      <c r="Z259" s="1"/>
      <c r="AA259" s="1"/>
      <c r="AB259" s="1"/>
      <c r="AC259" s="1"/>
      <c r="AD259" s="1"/>
      <c r="AE259" s="1"/>
      <c r="AF259" s="1"/>
      <c r="AG259" s="1"/>
      <c r="AH259" s="1"/>
      <c r="AI259" s="1"/>
      <c r="AJ259" s="1"/>
      <c r="AK259" s="1"/>
    </row>
    <row r="260" ht="30.0" customHeight="1">
      <c r="A260" s="1"/>
      <c r="B260" s="1"/>
      <c r="C260" s="2"/>
      <c r="D260" s="2"/>
      <c r="E260" s="2"/>
      <c r="F260" s="2"/>
      <c r="G260" s="2"/>
      <c r="H260" s="2"/>
      <c r="I260" s="2"/>
      <c r="J260" s="2"/>
      <c r="K260" s="2"/>
      <c r="L260" s="2"/>
      <c r="M260" s="2"/>
      <c r="N260" s="1"/>
      <c r="O260" s="2"/>
      <c r="P260" s="2"/>
      <c r="Q260" s="2"/>
      <c r="R260" s="2"/>
      <c r="S260" s="2"/>
      <c r="T260" s="2"/>
      <c r="U260" s="2"/>
      <c r="V260" s="2"/>
      <c r="W260" s="2"/>
      <c r="X260" s="2"/>
      <c r="Y260" s="2"/>
      <c r="Z260" s="1"/>
      <c r="AA260" s="1"/>
      <c r="AB260" s="1"/>
      <c r="AC260" s="1"/>
      <c r="AD260" s="1"/>
      <c r="AE260" s="1"/>
      <c r="AF260" s="1"/>
      <c r="AG260" s="1"/>
      <c r="AH260" s="1"/>
      <c r="AI260" s="1"/>
      <c r="AJ260" s="1"/>
      <c r="AK260" s="1"/>
    </row>
    <row r="261" ht="30.0" customHeight="1">
      <c r="A261" s="1"/>
      <c r="B261" s="1"/>
      <c r="C261" s="2"/>
      <c r="D261" s="2"/>
      <c r="E261" s="2"/>
      <c r="F261" s="2"/>
      <c r="G261" s="2"/>
      <c r="H261" s="2"/>
      <c r="I261" s="2"/>
      <c r="J261" s="2"/>
      <c r="K261" s="2"/>
      <c r="L261" s="2"/>
      <c r="M261" s="2"/>
      <c r="N261" s="1"/>
      <c r="O261" s="2"/>
      <c r="P261" s="2"/>
      <c r="Q261" s="2"/>
      <c r="R261" s="2"/>
      <c r="S261" s="2"/>
      <c r="T261" s="2"/>
      <c r="U261" s="2"/>
      <c r="V261" s="2"/>
      <c r="W261" s="2"/>
      <c r="X261" s="2"/>
      <c r="Y261" s="2"/>
      <c r="Z261" s="1"/>
      <c r="AA261" s="1"/>
      <c r="AB261" s="1"/>
      <c r="AC261" s="1"/>
      <c r="AD261" s="1"/>
      <c r="AE261" s="1"/>
      <c r="AF261" s="1"/>
      <c r="AG261" s="1"/>
      <c r="AH261" s="1"/>
      <c r="AI261" s="1"/>
      <c r="AJ261" s="1"/>
      <c r="AK261" s="1"/>
    </row>
    <row r="262" ht="30.0" customHeight="1">
      <c r="A262" s="1"/>
      <c r="B262" s="1"/>
      <c r="C262" s="2"/>
      <c r="D262" s="2"/>
      <c r="E262" s="2"/>
      <c r="F262" s="2"/>
      <c r="G262" s="2"/>
      <c r="H262" s="2"/>
      <c r="I262" s="2"/>
      <c r="J262" s="2"/>
      <c r="K262" s="2"/>
      <c r="L262" s="2"/>
      <c r="M262" s="2"/>
      <c r="N262" s="1"/>
      <c r="O262" s="2"/>
      <c r="P262" s="2"/>
      <c r="Q262" s="2"/>
      <c r="R262" s="2"/>
      <c r="S262" s="2"/>
      <c r="T262" s="2"/>
      <c r="U262" s="2"/>
      <c r="V262" s="2"/>
      <c r="W262" s="2"/>
      <c r="X262" s="2"/>
      <c r="Y262" s="2"/>
      <c r="Z262" s="1"/>
      <c r="AA262" s="1"/>
      <c r="AB262" s="1"/>
      <c r="AC262" s="1"/>
      <c r="AD262" s="1"/>
      <c r="AE262" s="1"/>
      <c r="AF262" s="1"/>
      <c r="AG262" s="1"/>
      <c r="AH262" s="1"/>
      <c r="AI262" s="1"/>
      <c r="AJ262" s="1"/>
      <c r="AK262" s="1"/>
    </row>
    <row r="263" ht="30.0" customHeight="1">
      <c r="A263" s="1"/>
      <c r="B263" s="1"/>
      <c r="C263" s="2"/>
      <c r="D263" s="2"/>
      <c r="E263" s="2"/>
      <c r="F263" s="2"/>
      <c r="G263" s="2"/>
      <c r="H263" s="2"/>
      <c r="I263" s="2"/>
      <c r="J263" s="2"/>
      <c r="K263" s="2"/>
      <c r="L263" s="2"/>
      <c r="M263" s="2"/>
      <c r="N263" s="1"/>
      <c r="O263" s="2"/>
      <c r="P263" s="2"/>
      <c r="Q263" s="2"/>
      <c r="R263" s="2"/>
      <c r="S263" s="2"/>
      <c r="T263" s="2"/>
      <c r="U263" s="2"/>
      <c r="V263" s="2"/>
      <c r="W263" s="2"/>
      <c r="X263" s="2"/>
      <c r="Y263" s="2"/>
      <c r="Z263" s="1"/>
      <c r="AA263" s="1"/>
      <c r="AB263" s="1"/>
      <c r="AC263" s="1"/>
      <c r="AD263" s="1"/>
      <c r="AE263" s="1"/>
      <c r="AF263" s="1"/>
      <c r="AG263" s="1"/>
      <c r="AH263" s="1"/>
      <c r="AI263" s="1"/>
      <c r="AJ263" s="1"/>
      <c r="AK263" s="1"/>
    </row>
    <row r="264" ht="30.0" customHeight="1">
      <c r="A264" s="1"/>
      <c r="B264" s="1"/>
      <c r="C264" s="2"/>
      <c r="D264" s="2"/>
      <c r="E264" s="2"/>
      <c r="F264" s="2"/>
      <c r="G264" s="2"/>
      <c r="H264" s="2"/>
      <c r="I264" s="2"/>
      <c r="J264" s="2"/>
      <c r="K264" s="2"/>
      <c r="L264" s="2"/>
      <c r="M264" s="2"/>
      <c r="N264" s="1"/>
      <c r="O264" s="2"/>
      <c r="P264" s="2"/>
      <c r="Q264" s="2"/>
      <c r="R264" s="2"/>
      <c r="S264" s="2"/>
      <c r="T264" s="2"/>
      <c r="U264" s="2"/>
      <c r="V264" s="2"/>
      <c r="W264" s="2"/>
      <c r="X264" s="2"/>
      <c r="Y264" s="2"/>
      <c r="Z264" s="1"/>
      <c r="AA264" s="1"/>
      <c r="AB264" s="1"/>
      <c r="AC264" s="1"/>
      <c r="AD264" s="1"/>
      <c r="AE264" s="1"/>
      <c r="AF264" s="1"/>
      <c r="AG264" s="1"/>
      <c r="AH264" s="1"/>
      <c r="AI264" s="1"/>
      <c r="AJ264" s="1"/>
      <c r="AK264" s="1"/>
    </row>
    <row r="265" ht="30.0" customHeight="1">
      <c r="A265" s="1"/>
      <c r="B265" s="1"/>
      <c r="C265" s="2"/>
      <c r="D265" s="2"/>
      <c r="E265" s="2"/>
      <c r="F265" s="2"/>
      <c r="G265" s="2"/>
      <c r="H265" s="2"/>
      <c r="I265" s="2"/>
      <c r="J265" s="2"/>
      <c r="K265" s="2"/>
      <c r="L265" s="2"/>
      <c r="M265" s="2"/>
      <c r="N265" s="1"/>
      <c r="O265" s="2"/>
      <c r="P265" s="2"/>
      <c r="Q265" s="2"/>
      <c r="R265" s="2"/>
      <c r="S265" s="2"/>
      <c r="T265" s="2"/>
      <c r="U265" s="2"/>
      <c r="V265" s="2"/>
      <c r="W265" s="2"/>
      <c r="X265" s="2"/>
      <c r="Y265" s="2"/>
      <c r="Z265" s="1"/>
      <c r="AA265" s="1"/>
      <c r="AB265" s="1"/>
      <c r="AC265" s="1"/>
      <c r="AD265" s="1"/>
      <c r="AE265" s="1"/>
      <c r="AF265" s="1"/>
      <c r="AG265" s="1"/>
      <c r="AH265" s="1"/>
      <c r="AI265" s="1"/>
      <c r="AJ265" s="1"/>
      <c r="AK265" s="1"/>
    </row>
    <row r="266" ht="30.0" customHeight="1">
      <c r="A266" s="1"/>
      <c r="B266" s="1"/>
      <c r="C266" s="2"/>
      <c r="D266" s="2"/>
      <c r="E266" s="2"/>
      <c r="F266" s="2"/>
      <c r="G266" s="2"/>
      <c r="H266" s="2"/>
      <c r="I266" s="2"/>
      <c r="J266" s="2"/>
      <c r="K266" s="2"/>
      <c r="L266" s="2"/>
      <c r="M266" s="2"/>
      <c r="N266" s="1"/>
      <c r="O266" s="2"/>
      <c r="P266" s="2"/>
      <c r="Q266" s="2"/>
      <c r="R266" s="2"/>
      <c r="S266" s="2"/>
      <c r="T266" s="2"/>
      <c r="U266" s="2"/>
      <c r="V266" s="2"/>
      <c r="W266" s="2"/>
      <c r="X266" s="2"/>
      <c r="Y266" s="2"/>
      <c r="Z266" s="1"/>
      <c r="AA266" s="1"/>
      <c r="AB266" s="1"/>
      <c r="AC266" s="1"/>
      <c r="AD266" s="1"/>
      <c r="AE266" s="1"/>
      <c r="AF266" s="1"/>
      <c r="AG266" s="1"/>
      <c r="AH266" s="1"/>
      <c r="AI266" s="1"/>
      <c r="AJ266" s="1"/>
      <c r="AK266" s="1"/>
    </row>
    <row r="267" ht="30.0" customHeight="1">
      <c r="A267" s="1"/>
      <c r="B267" s="1"/>
      <c r="C267" s="2"/>
      <c r="D267" s="2"/>
      <c r="E267" s="2"/>
      <c r="F267" s="2"/>
      <c r="G267" s="2"/>
      <c r="H267" s="2"/>
      <c r="I267" s="2"/>
      <c r="J267" s="2"/>
      <c r="K267" s="2"/>
      <c r="L267" s="2"/>
      <c r="M267" s="2"/>
      <c r="N267" s="1"/>
      <c r="O267" s="2"/>
      <c r="P267" s="2"/>
      <c r="Q267" s="2"/>
      <c r="R267" s="2"/>
      <c r="S267" s="2"/>
      <c r="T267" s="2"/>
      <c r="U267" s="2"/>
      <c r="V267" s="2"/>
      <c r="W267" s="2"/>
      <c r="X267" s="2"/>
      <c r="Y267" s="2"/>
      <c r="Z267" s="1"/>
      <c r="AA267" s="1"/>
      <c r="AB267" s="1"/>
      <c r="AC267" s="1"/>
      <c r="AD267" s="1"/>
      <c r="AE267" s="1"/>
      <c r="AF267" s="1"/>
      <c r="AG267" s="1"/>
      <c r="AH267" s="1"/>
      <c r="AI267" s="1"/>
      <c r="AJ267" s="1"/>
      <c r="AK267" s="1"/>
    </row>
    <row r="268" ht="30.0" customHeight="1">
      <c r="A268" s="1"/>
      <c r="B268" s="1"/>
      <c r="C268" s="2"/>
      <c r="D268" s="2"/>
      <c r="E268" s="2"/>
      <c r="F268" s="2"/>
      <c r="G268" s="2"/>
      <c r="H268" s="2"/>
      <c r="I268" s="2"/>
      <c r="J268" s="2"/>
      <c r="K268" s="2"/>
      <c r="L268" s="2"/>
      <c r="M268" s="2"/>
      <c r="N268" s="1"/>
      <c r="O268" s="2"/>
      <c r="P268" s="2"/>
      <c r="Q268" s="2"/>
      <c r="R268" s="2"/>
      <c r="S268" s="2"/>
      <c r="T268" s="2"/>
      <c r="U268" s="2"/>
      <c r="V268" s="2"/>
      <c r="W268" s="2"/>
      <c r="X268" s="2"/>
      <c r="Y268" s="2"/>
      <c r="Z268" s="1"/>
      <c r="AA268" s="1"/>
      <c r="AB268" s="1"/>
      <c r="AC268" s="1"/>
      <c r="AD268" s="1"/>
      <c r="AE268" s="1"/>
      <c r="AF268" s="1"/>
      <c r="AG268" s="1"/>
      <c r="AH268" s="1"/>
      <c r="AI268" s="1"/>
      <c r="AJ268" s="1"/>
      <c r="AK268" s="1"/>
    </row>
    <row r="269" ht="30.0" customHeight="1">
      <c r="A269" s="1"/>
      <c r="B269" s="1"/>
      <c r="C269" s="2"/>
      <c r="D269" s="2"/>
      <c r="E269" s="2"/>
      <c r="F269" s="2"/>
      <c r="G269" s="2"/>
      <c r="H269" s="2"/>
      <c r="I269" s="2"/>
      <c r="J269" s="2"/>
      <c r="K269" s="2"/>
      <c r="L269" s="2"/>
      <c r="M269" s="2"/>
      <c r="N269" s="1"/>
      <c r="O269" s="2"/>
      <c r="P269" s="2"/>
      <c r="Q269" s="2"/>
      <c r="R269" s="2"/>
      <c r="S269" s="2"/>
      <c r="T269" s="2"/>
      <c r="U269" s="2"/>
      <c r="V269" s="2"/>
      <c r="W269" s="2"/>
      <c r="X269" s="2"/>
      <c r="Y269" s="2"/>
      <c r="Z269" s="1"/>
      <c r="AA269" s="1"/>
      <c r="AB269" s="1"/>
      <c r="AC269" s="1"/>
      <c r="AD269" s="1"/>
      <c r="AE269" s="1"/>
      <c r="AF269" s="1"/>
      <c r="AG269" s="1"/>
      <c r="AH269" s="1"/>
      <c r="AI269" s="1"/>
      <c r="AJ269" s="1"/>
      <c r="AK269" s="1"/>
    </row>
    <row r="270" ht="30.0" customHeight="1">
      <c r="A270" s="1"/>
      <c r="B270" s="1"/>
      <c r="C270" s="2"/>
      <c r="D270" s="2"/>
      <c r="E270" s="2"/>
      <c r="F270" s="2"/>
      <c r="G270" s="2"/>
      <c r="H270" s="2"/>
      <c r="I270" s="2"/>
      <c r="J270" s="2"/>
      <c r="K270" s="2"/>
      <c r="L270" s="2"/>
      <c r="M270" s="2"/>
      <c r="N270" s="1"/>
      <c r="O270" s="2"/>
      <c r="P270" s="2"/>
      <c r="Q270" s="2"/>
      <c r="R270" s="2"/>
      <c r="S270" s="2"/>
      <c r="T270" s="2"/>
      <c r="U270" s="2"/>
      <c r="V270" s="2"/>
      <c r="W270" s="2"/>
      <c r="X270" s="2"/>
      <c r="Y270" s="2"/>
      <c r="Z270" s="1"/>
      <c r="AA270" s="1"/>
      <c r="AB270" s="1"/>
      <c r="AC270" s="1"/>
      <c r="AD270" s="1"/>
      <c r="AE270" s="1"/>
      <c r="AF270" s="1"/>
      <c r="AG270" s="1"/>
      <c r="AH270" s="1"/>
      <c r="AI270" s="1"/>
      <c r="AJ270" s="1"/>
      <c r="AK270" s="1"/>
    </row>
    <row r="271" ht="30.0" customHeight="1">
      <c r="A271" s="1"/>
      <c r="B271" s="1"/>
      <c r="C271" s="2"/>
      <c r="D271" s="2"/>
      <c r="E271" s="2"/>
      <c r="F271" s="2"/>
      <c r="G271" s="2"/>
      <c r="H271" s="2"/>
      <c r="I271" s="2"/>
      <c r="J271" s="2"/>
      <c r="K271" s="2"/>
      <c r="L271" s="2"/>
      <c r="M271" s="2"/>
      <c r="N271" s="1"/>
      <c r="O271" s="2"/>
      <c r="P271" s="2"/>
      <c r="Q271" s="2"/>
      <c r="R271" s="2"/>
      <c r="S271" s="2"/>
      <c r="T271" s="2"/>
      <c r="U271" s="2"/>
      <c r="V271" s="2"/>
      <c r="W271" s="2"/>
      <c r="X271" s="2"/>
      <c r="Y271" s="2"/>
      <c r="Z271" s="1"/>
      <c r="AA271" s="1"/>
      <c r="AB271" s="1"/>
      <c r="AC271" s="1"/>
      <c r="AD271" s="1"/>
      <c r="AE271" s="1"/>
      <c r="AF271" s="1"/>
      <c r="AG271" s="1"/>
      <c r="AH271" s="1"/>
      <c r="AI271" s="1"/>
      <c r="AJ271" s="1"/>
      <c r="AK271" s="1"/>
    </row>
    <row r="272" ht="30.0" customHeight="1">
      <c r="A272" s="1"/>
      <c r="B272" s="1"/>
      <c r="C272" s="2"/>
      <c r="D272" s="2"/>
      <c r="E272" s="2"/>
      <c r="F272" s="2"/>
      <c r="G272" s="2"/>
      <c r="H272" s="2"/>
      <c r="I272" s="2"/>
      <c r="J272" s="2"/>
      <c r="K272" s="2"/>
      <c r="L272" s="2"/>
      <c r="M272" s="2"/>
      <c r="N272" s="1"/>
      <c r="O272" s="2"/>
      <c r="P272" s="2"/>
      <c r="Q272" s="2"/>
      <c r="R272" s="2"/>
      <c r="S272" s="2"/>
      <c r="T272" s="2"/>
      <c r="U272" s="2"/>
      <c r="V272" s="2"/>
      <c r="W272" s="2"/>
      <c r="X272" s="2"/>
      <c r="Y272" s="2"/>
      <c r="Z272" s="1"/>
      <c r="AA272" s="1"/>
      <c r="AB272" s="1"/>
      <c r="AC272" s="1"/>
      <c r="AD272" s="1"/>
      <c r="AE272" s="1"/>
      <c r="AF272" s="1"/>
      <c r="AG272" s="1"/>
      <c r="AH272" s="1"/>
      <c r="AI272" s="1"/>
      <c r="AJ272" s="1"/>
      <c r="AK272" s="1"/>
    </row>
    <row r="273" ht="30.0" customHeight="1">
      <c r="A273" s="1"/>
      <c r="B273" s="1"/>
      <c r="C273" s="2"/>
      <c r="D273" s="2"/>
      <c r="E273" s="2"/>
      <c r="F273" s="2"/>
      <c r="G273" s="2"/>
      <c r="H273" s="2"/>
      <c r="I273" s="2"/>
      <c r="J273" s="2"/>
      <c r="K273" s="2"/>
      <c r="L273" s="2"/>
      <c r="M273" s="2"/>
      <c r="N273" s="1"/>
      <c r="O273" s="2"/>
      <c r="P273" s="2"/>
      <c r="Q273" s="2"/>
      <c r="R273" s="2"/>
      <c r="S273" s="2"/>
      <c r="T273" s="2"/>
      <c r="U273" s="2"/>
      <c r="V273" s="2"/>
      <c r="W273" s="2"/>
      <c r="X273" s="2"/>
      <c r="Y273" s="2"/>
      <c r="Z273" s="1"/>
      <c r="AA273" s="1"/>
      <c r="AB273" s="1"/>
      <c r="AC273" s="1"/>
      <c r="AD273" s="1"/>
      <c r="AE273" s="1"/>
      <c r="AF273" s="1"/>
      <c r="AG273" s="1"/>
      <c r="AH273" s="1"/>
      <c r="AI273" s="1"/>
      <c r="AJ273" s="1"/>
      <c r="AK273" s="1"/>
    </row>
    <row r="274" ht="30.0" customHeight="1">
      <c r="A274" s="1"/>
      <c r="B274" s="1"/>
      <c r="C274" s="2"/>
      <c r="D274" s="2"/>
      <c r="E274" s="2"/>
      <c r="F274" s="2"/>
      <c r="G274" s="2"/>
      <c r="H274" s="2"/>
      <c r="I274" s="2"/>
      <c r="J274" s="2"/>
      <c r="K274" s="2"/>
      <c r="L274" s="2"/>
      <c r="M274" s="2"/>
      <c r="N274" s="1"/>
      <c r="O274" s="2"/>
      <c r="P274" s="2"/>
      <c r="Q274" s="2"/>
      <c r="R274" s="2"/>
      <c r="S274" s="2"/>
      <c r="T274" s="2"/>
      <c r="U274" s="2"/>
      <c r="V274" s="2"/>
      <c r="W274" s="2"/>
      <c r="X274" s="2"/>
      <c r="Y274" s="2"/>
      <c r="Z274" s="1"/>
      <c r="AA274" s="1"/>
      <c r="AB274" s="1"/>
      <c r="AC274" s="1"/>
      <c r="AD274" s="1"/>
      <c r="AE274" s="1"/>
      <c r="AF274" s="1"/>
      <c r="AG274" s="1"/>
      <c r="AH274" s="1"/>
      <c r="AI274" s="1"/>
      <c r="AJ274" s="1"/>
      <c r="AK274" s="1"/>
    </row>
    <row r="275" ht="30.0" customHeight="1">
      <c r="A275" s="1"/>
      <c r="B275" s="1"/>
      <c r="C275" s="2"/>
      <c r="D275" s="2"/>
      <c r="E275" s="2"/>
      <c r="F275" s="2"/>
      <c r="G275" s="2"/>
      <c r="H275" s="2"/>
      <c r="I275" s="2"/>
      <c r="J275" s="2"/>
      <c r="K275" s="2"/>
      <c r="L275" s="2"/>
      <c r="M275" s="2"/>
      <c r="N275" s="1"/>
      <c r="O275" s="2"/>
      <c r="P275" s="2"/>
      <c r="Q275" s="2"/>
      <c r="R275" s="2"/>
      <c r="S275" s="2"/>
      <c r="T275" s="2"/>
      <c r="U275" s="2"/>
      <c r="V275" s="2"/>
      <c r="W275" s="2"/>
      <c r="X275" s="2"/>
      <c r="Y275" s="2"/>
      <c r="Z275" s="1"/>
      <c r="AA275" s="1"/>
      <c r="AB275" s="1"/>
      <c r="AC275" s="1"/>
      <c r="AD275" s="1"/>
      <c r="AE275" s="1"/>
      <c r="AF275" s="1"/>
      <c r="AG275" s="1"/>
      <c r="AH275" s="1"/>
      <c r="AI275" s="1"/>
      <c r="AJ275" s="1"/>
      <c r="AK275" s="1"/>
    </row>
    <row r="276" ht="30.0" customHeight="1">
      <c r="A276" s="1"/>
      <c r="B276" s="1"/>
      <c r="C276" s="2"/>
      <c r="D276" s="2"/>
      <c r="E276" s="2"/>
      <c r="F276" s="2"/>
      <c r="G276" s="2"/>
      <c r="H276" s="2"/>
      <c r="I276" s="2"/>
      <c r="J276" s="2"/>
      <c r="K276" s="2"/>
      <c r="L276" s="2"/>
      <c r="M276" s="2"/>
      <c r="N276" s="1"/>
      <c r="O276" s="2"/>
      <c r="P276" s="2"/>
      <c r="Q276" s="2"/>
      <c r="R276" s="2"/>
      <c r="S276" s="2"/>
      <c r="T276" s="2"/>
      <c r="U276" s="2"/>
      <c r="V276" s="2"/>
      <c r="W276" s="2"/>
      <c r="X276" s="2"/>
      <c r="Y276" s="2"/>
      <c r="Z276" s="1"/>
      <c r="AA276" s="1"/>
      <c r="AB276" s="1"/>
      <c r="AC276" s="1"/>
      <c r="AD276" s="1"/>
      <c r="AE276" s="1"/>
      <c r="AF276" s="1"/>
      <c r="AG276" s="1"/>
      <c r="AH276" s="1"/>
      <c r="AI276" s="1"/>
      <c r="AJ276" s="1"/>
      <c r="AK276" s="1"/>
    </row>
    <row r="277" ht="30.0" customHeight="1">
      <c r="A277" s="1"/>
      <c r="B277" s="1"/>
      <c r="C277" s="2"/>
      <c r="D277" s="2"/>
      <c r="E277" s="2"/>
      <c r="F277" s="2"/>
      <c r="G277" s="2"/>
      <c r="H277" s="2"/>
      <c r="I277" s="2"/>
      <c r="J277" s="2"/>
      <c r="K277" s="2"/>
      <c r="L277" s="2"/>
      <c r="M277" s="2"/>
      <c r="N277" s="1"/>
      <c r="O277" s="2"/>
      <c r="P277" s="2"/>
      <c r="Q277" s="2"/>
      <c r="R277" s="2"/>
      <c r="S277" s="2"/>
      <c r="T277" s="2"/>
      <c r="U277" s="2"/>
      <c r="V277" s="2"/>
      <c r="W277" s="2"/>
      <c r="X277" s="2"/>
      <c r="Y277" s="2"/>
      <c r="Z277" s="1"/>
      <c r="AA277" s="1"/>
      <c r="AB277" s="1"/>
      <c r="AC277" s="1"/>
      <c r="AD277" s="1"/>
      <c r="AE277" s="1"/>
      <c r="AF277" s="1"/>
      <c r="AG277" s="1"/>
      <c r="AH277" s="1"/>
      <c r="AI277" s="1"/>
      <c r="AJ277" s="1"/>
      <c r="AK277" s="1"/>
    </row>
    <row r="278" ht="30.0" customHeight="1">
      <c r="A278" s="1"/>
      <c r="B278" s="1"/>
      <c r="C278" s="2"/>
      <c r="D278" s="2"/>
      <c r="E278" s="2"/>
      <c r="F278" s="2"/>
      <c r="G278" s="2"/>
      <c r="H278" s="2"/>
      <c r="I278" s="2"/>
      <c r="J278" s="2"/>
      <c r="K278" s="2"/>
      <c r="L278" s="2"/>
      <c r="M278" s="2"/>
      <c r="N278" s="1"/>
      <c r="O278" s="2"/>
      <c r="P278" s="2"/>
      <c r="Q278" s="2"/>
      <c r="R278" s="2"/>
      <c r="S278" s="2"/>
      <c r="T278" s="2"/>
      <c r="U278" s="2"/>
      <c r="V278" s="2"/>
      <c r="W278" s="2"/>
      <c r="X278" s="2"/>
      <c r="Y278" s="2"/>
      <c r="Z278" s="1"/>
      <c r="AA278" s="1"/>
      <c r="AB278" s="1"/>
      <c r="AC278" s="1"/>
      <c r="AD278" s="1"/>
      <c r="AE278" s="1"/>
      <c r="AF278" s="1"/>
      <c r="AG278" s="1"/>
      <c r="AH278" s="1"/>
      <c r="AI278" s="1"/>
      <c r="AJ278" s="1"/>
      <c r="AK278" s="1"/>
    </row>
    <row r="279" ht="30.0" customHeight="1">
      <c r="A279" s="1"/>
      <c r="B279" s="1"/>
      <c r="C279" s="2"/>
      <c r="D279" s="2"/>
      <c r="E279" s="2"/>
      <c r="F279" s="2"/>
      <c r="G279" s="2"/>
      <c r="H279" s="2"/>
      <c r="I279" s="2"/>
      <c r="J279" s="2"/>
      <c r="K279" s="2"/>
      <c r="L279" s="2"/>
      <c r="M279" s="2"/>
      <c r="N279" s="1"/>
      <c r="O279" s="2"/>
      <c r="P279" s="2"/>
      <c r="Q279" s="2"/>
      <c r="R279" s="2"/>
      <c r="S279" s="2"/>
      <c r="T279" s="2"/>
      <c r="U279" s="2"/>
      <c r="V279" s="2"/>
      <c r="W279" s="2"/>
      <c r="X279" s="2"/>
      <c r="Y279" s="2"/>
      <c r="Z279" s="1"/>
      <c r="AA279" s="1"/>
      <c r="AB279" s="1"/>
      <c r="AC279" s="1"/>
      <c r="AD279" s="1"/>
      <c r="AE279" s="1"/>
      <c r="AF279" s="1"/>
      <c r="AG279" s="1"/>
      <c r="AH279" s="1"/>
      <c r="AI279" s="1"/>
      <c r="AJ279" s="1"/>
      <c r="AK279" s="1"/>
    </row>
    <row r="280" ht="30.0" customHeight="1">
      <c r="A280" s="1"/>
      <c r="B280" s="1"/>
      <c r="C280" s="2"/>
      <c r="D280" s="2"/>
      <c r="E280" s="2"/>
      <c r="F280" s="2"/>
      <c r="G280" s="2"/>
      <c r="H280" s="2"/>
      <c r="I280" s="2"/>
      <c r="J280" s="2"/>
      <c r="K280" s="2"/>
      <c r="L280" s="2"/>
      <c r="M280" s="2"/>
      <c r="N280" s="1"/>
      <c r="O280" s="2"/>
      <c r="P280" s="2"/>
      <c r="Q280" s="2"/>
      <c r="R280" s="2"/>
      <c r="S280" s="2"/>
      <c r="T280" s="2"/>
      <c r="U280" s="2"/>
      <c r="V280" s="2"/>
      <c r="W280" s="2"/>
      <c r="X280" s="2"/>
      <c r="Y280" s="2"/>
      <c r="Z280" s="1"/>
      <c r="AA280" s="1"/>
      <c r="AB280" s="1"/>
      <c r="AC280" s="1"/>
      <c r="AD280" s="1"/>
      <c r="AE280" s="1"/>
      <c r="AF280" s="1"/>
      <c r="AG280" s="1"/>
      <c r="AH280" s="1"/>
      <c r="AI280" s="1"/>
      <c r="AJ280" s="1"/>
      <c r="AK280" s="1"/>
    </row>
    <row r="281" ht="30.0" customHeight="1">
      <c r="A281" s="1"/>
      <c r="B281" s="1"/>
      <c r="C281" s="2"/>
      <c r="D281" s="2"/>
      <c r="E281" s="2"/>
      <c r="F281" s="2"/>
      <c r="G281" s="2"/>
      <c r="H281" s="2"/>
      <c r="I281" s="2"/>
      <c r="J281" s="2"/>
      <c r="K281" s="2"/>
      <c r="L281" s="2"/>
      <c r="M281" s="2"/>
      <c r="N281" s="1"/>
      <c r="O281" s="2"/>
      <c r="P281" s="2"/>
      <c r="Q281" s="2"/>
      <c r="R281" s="2"/>
      <c r="S281" s="2"/>
      <c r="T281" s="2"/>
      <c r="U281" s="2"/>
      <c r="V281" s="2"/>
      <c r="W281" s="2"/>
      <c r="X281" s="2"/>
      <c r="Y281" s="2"/>
      <c r="Z281" s="1"/>
      <c r="AA281" s="1"/>
      <c r="AB281" s="1"/>
      <c r="AC281" s="1"/>
      <c r="AD281" s="1"/>
      <c r="AE281" s="1"/>
      <c r="AF281" s="1"/>
      <c r="AG281" s="1"/>
      <c r="AH281" s="1"/>
      <c r="AI281" s="1"/>
      <c r="AJ281" s="1"/>
      <c r="AK281" s="1"/>
    </row>
    <row r="282" ht="30.0" customHeight="1">
      <c r="A282" s="1"/>
      <c r="B282" s="1"/>
      <c r="C282" s="2"/>
      <c r="D282" s="2"/>
      <c r="E282" s="2"/>
      <c r="F282" s="2"/>
      <c r="G282" s="2"/>
      <c r="H282" s="2"/>
      <c r="I282" s="2"/>
      <c r="J282" s="2"/>
      <c r="K282" s="2"/>
      <c r="L282" s="2"/>
      <c r="M282" s="2"/>
      <c r="N282" s="1"/>
      <c r="O282" s="2"/>
      <c r="P282" s="2"/>
      <c r="Q282" s="2"/>
      <c r="R282" s="2"/>
      <c r="S282" s="2"/>
      <c r="T282" s="2"/>
      <c r="U282" s="2"/>
      <c r="V282" s="2"/>
      <c r="W282" s="2"/>
      <c r="X282" s="2"/>
      <c r="Y282" s="2"/>
      <c r="Z282" s="1"/>
      <c r="AA282" s="1"/>
      <c r="AB282" s="1"/>
      <c r="AC282" s="1"/>
      <c r="AD282" s="1"/>
      <c r="AE282" s="1"/>
      <c r="AF282" s="1"/>
      <c r="AG282" s="1"/>
      <c r="AH282" s="1"/>
      <c r="AI282" s="1"/>
      <c r="AJ282" s="1"/>
      <c r="AK282" s="1"/>
    </row>
    <row r="283" ht="30.0" customHeight="1">
      <c r="A283" s="1"/>
      <c r="B283" s="1"/>
      <c r="C283" s="2"/>
      <c r="D283" s="2"/>
      <c r="E283" s="2"/>
      <c r="F283" s="2"/>
      <c r="G283" s="2"/>
      <c r="H283" s="2"/>
      <c r="I283" s="2"/>
      <c r="J283" s="2"/>
      <c r="K283" s="2"/>
      <c r="L283" s="2"/>
      <c r="M283" s="2"/>
      <c r="N283" s="1"/>
      <c r="O283" s="2"/>
      <c r="P283" s="2"/>
      <c r="Q283" s="2"/>
      <c r="R283" s="2"/>
      <c r="S283" s="2"/>
      <c r="T283" s="2"/>
      <c r="U283" s="2"/>
      <c r="V283" s="2"/>
      <c r="W283" s="2"/>
      <c r="X283" s="2"/>
      <c r="Y283" s="2"/>
      <c r="Z283" s="1"/>
      <c r="AA283" s="1"/>
      <c r="AB283" s="1"/>
      <c r="AC283" s="1"/>
      <c r="AD283" s="1"/>
      <c r="AE283" s="1"/>
      <c r="AF283" s="1"/>
      <c r="AG283" s="1"/>
      <c r="AH283" s="1"/>
      <c r="AI283" s="1"/>
      <c r="AJ283" s="1"/>
      <c r="AK283" s="1"/>
    </row>
    <row r="284" ht="30.0" customHeight="1">
      <c r="A284" s="1"/>
      <c r="B284" s="1"/>
      <c r="C284" s="2"/>
      <c r="D284" s="2"/>
      <c r="E284" s="2"/>
      <c r="F284" s="2"/>
      <c r="G284" s="2"/>
      <c r="H284" s="2"/>
      <c r="I284" s="2"/>
      <c r="J284" s="2"/>
      <c r="K284" s="2"/>
      <c r="L284" s="2"/>
      <c r="M284" s="2"/>
      <c r="N284" s="1"/>
      <c r="O284" s="2"/>
      <c r="P284" s="2"/>
      <c r="Q284" s="2"/>
      <c r="R284" s="2"/>
      <c r="S284" s="2"/>
      <c r="T284" s="2"/>
      <c r="U284" s="2"/>
      <c r="V284" s="2"/>
      <c r="W284" s="2"/>
      <c r="X284" s="2"/>
      <c r="Y284" s="2"/>
      <c r="Z284" s="1"/>
      <c r="AA284" s="1"/>
      <c r="AB284" s="1"/>
      <c r="AC284" s="1"/>
      <c r="AD284" s="1"/>
      <c r="AE284" s="1"/>
      <c r="AF284" s="1"/>
      <c r="AG284" s="1"/>
      <c r="AH284" s="1"/>
      <c r="AI284" s="1"/>
      <c r="AJ284" s="1"/>
      <c r="AK284" s="1"/>
    </row>
    <row r="285" ht="30.0" customHeight="1">
      <c r="A285" s="1"/>
      <c r="B285" s="1"/>
      <c r="C285" s="2"/>
      <c r="D285" s="2"/>
      <c r="E285" s="2"/>
      <c r="F285" s="2"/>
      <c r="G285" s="2"/>
      <c r="H285" s="2"/>
      <c r="I285" s="2"/>
      <c r="J285" s="2"/>
      <c r="K285" s="2"/>
      <c r="L285" s="2"/>
      <c r="M285" s="2"/>
      <c r="N285" s="1"/>
      <c r="O285" s="2"/>
      <c r="P285" s="2"/>
      <c r="Q285" s="2"/>
      <c r="R285" s="2"/>
      <c r="S285" s="2"/>
      <c r="T285" s="2"/>
      <c r="U285" s="2"/>
      <c r="V285" s="2"/>
      <c r="W285" s="2"/>
      <c r="X285" s="2"/>
      <c r="Y285" s="2"/>
      <c r="Z285" s="1"/>
      <c r="AA285" s="1"/>
      <c r="AB285" s="1"/>
      <c r="AC285" s="1"/>
      <c r="AD285" s="1"/>
      <c r="AE285" s="1"/>
      <c r="AF285" s="1"/>
      <c r="AG285" s="1"/>
      <c r="AH285" s="1"/>
      <c r="AI285" s="1"/>
      <c r="AJ285" s="1"/>
      <c r="AK285" s="1"/>
    </row>
    <row r="286" ht="30.0" customHeight="1">
      <c r="A286" s="1"/>
      <c r="B286" s="1"/>
      <c r="C286" s="2"/>
      <c r="D286" s="2"/>
      <c r="E286" s="2"/>
      <c r="F286" s="2"/>
      <c r="G286" s="2"/>
      <c r="H286" s="2"/>
      <c r="I286" s="2"/>
      <c r="J286" s="2"/>
      <c r="K286" s="2"/>
      <c r="L286" s="2"/>
      <c r="M286" s="2"/>
      <c r="N286" s="1"/>
      <c r="O286" s="2"/>
      <c r="P286" s="2"/>
      <c r="Q286" s="2"/>
      <c r="R286" s="2"/>
      <c r="S286" s="2"/>
      <c r="T286" s="2"/>
      <c r="U286" s="2"/>
      <c r="V286" s="2"/>
      <c r="W286" s="2"/>
      <c r="X286" s="2"/>
      <c r="Y286" s="2"/>
      <c r="Z286" s="1"/>
      <c r="AA286" s="1"/>
      <c r="AB286" s="1"/>
      <c r="AC286" s="1"/>
      <c r="AD286" s="1"/>
      <c r="AE286" s="1"/>
      <c r="AF286" s="1"/>
      <c r="AG286" s="1"/>
      <c r="AH286" s="1"/>
      <c r="AI286" s="1"/>
      <c r="AJ286" s="1"/>
      <c r="AK286" s="1"/>
    </row>
    <row r="287" ht="30.0" customHeight="1">
      <c r="A287" s="1"/>
      <c r="B287" s="1"/>
      <c r="C287" s="2"/>
      <c r="D287" s="2"/>
      <c r="E287" s="2"/>
      <c r="F287" s="2"/>
      <c r="G287" s="2"/>
      <c r="H287" s="2"/>
      <c r="I287" s="2"/>
      <c r="J287" s="2"/>
      <c r="K287" s="2"/>
      <c r="L287" s="2"/>
      <c r="M287" s="2"/>
      <c r="N287" s="1"/>
      <c r="O287" s="2"/>
      <c r="P287" s="2"/>
      <c r="Q287" s="2"/>
      <c r="R287" s="2"/>
      <c r="S287" s="2"/>
      <c r="T287" s="2"/>
      <c r="U287" s="2"/>
      <c r="V287" s="2"/>
      <c r="W287" s="2"/>
      <c r="X287" s="2"/>
      <c r="Y287" s="2"/>
      <c r="Z287" s="1"/>
      <c r="AA287" s="1"/>
      <c r="AB287" s="1"/>
      <c r="AC287" s="1"/>
      <c r="AD287" s="1"/>
      <c r="AE287" s="1"/>
      <c r="AF287" s="1"/>
      <c r="AG287" s="1"/>
      <c r="AH287" s="1"/>
      <c r="AI287" s="1"/>
      <c r="AJ287" s="1"/>
      <c r="AK287" s="1"/>
    </row>
    <row r="288" ht="30.0" customHeight="1">
      <c r="A288" s="1"/>
      <c r="B288" s="1"/>
      <c r="C288" s="2"/>
      <c r="D288" s="2"/>
      <c r="E288" s="2"/>
      <c r="F288" s="2"/>
      <c r="G288" s="2"/>
      <c r="H288" s="2"/>
      <c r="I288" s="2"/>
      <c r="J288" s="2"/>
      <c r="K288" s="2"/>
      <c r="L288" s="2"/>
      <c r="M288" s="2"/>
      <c r="N288" s="1"/>
      <c r="O288" s="2"/>
      <c r="P288" s="2"/>
      <c r="Q288" s="2"/>
      <c r="R288" s="2"/>
      <c r="S288" s="2"/>
      <c r="T288" s="2"/>
      <c r="U288" s="2"/>
      <c r="V288" s="2"/>
      <c r="W288" s="2"/>
      <c r="X288" s="2"/>
      <c r="Y288" s="2"/>
      <c r="Z288" s="1"/>
      <c r="AA288" s="1"/>
      <c r="AB288" s="1"/>
      <c r="AC288" s="1"/>
      <c r="AD288" s="1"/>
      <c r="AE288" s="1"/>
      <c r="AF288" s="1"/>
      <c r="AG288" s="1"/>
      <c r="AH288" s="1"/>
      <c r="AI288" s="1"/>
      <c r="AJ288" s="1"/>
      <c r="AK288" s="1"/>
    </row>
    <row r="289" ht="30.0" customHeight="1">
      <c r="A289" s="1"/>
      <c r="B289" s="1"/>
      <c r="C289" s="2"/>
      <c r="D289" s="2"/>
      <c r="E289" s="2"/>
      <c r="F289" s="2"/>
      <c r="G289" s="2"/>
      <c r="H289" s="2"/>
      <c r="I289" s="2"/>
      <c r="J289" s="2"/>
      <c r="K289" s="2"/>
      <c r="L289" s="2"/>
      <c r="M289" s="2"/>
      <c r="N289" s="1"/>
      <c r="O289" s="2"/>
      <c r="P289" s="2"/>
      <c r="Q289" s="2"/>
      <c r="R289" s="2"/>
      <c r="S289" s="2"/>
      <c r="T289" s="2"/>
      <c r="U289" s="2"/>
      <c r="V289" s="2"/>
      <c r="W289" s="2"/>
      <c r="X289" s="2"/>
      <c r="Y289" s="2"/>
      <c r="Z289" s="1"/>
      <c r="AA289" s="1"/>
      <c r="AB289" s="1"/>
      <c r="AC289" s="1"/>
      <c r="AD289" s="1"/>
      <c r="AE289" s="1"/>
      <c r="AF289" s="1"/>
      <c r="AG289" s="1"/>
      <c r="AH289" s="1"/>
      <c r="AI289" s="1"/>
      <c r="AJ289" s="1"/>
      <c r="AK289" s="1"/>
    </row>
    <row r="290" ht="30.0" customHeight="1">
      <c r="A290" s="1"/>
      <c r="B290" s="1"/>
      <c r="C290" s="2"/>
      <c r="D290" s="2"/>
      <c r="E290" s="2"/>
      <c r="F290" s="2"/>
      <c r="G290" s="2"/>
      <c r="H290" s="2"/>
      <c r="I290" s="2"/>
      <c r="J290" s="2"/>
      <c r="K290" s="2"/>
      <c r="L290" s="2"/>
      <c r="M290" s="2"/>
      <c r="N290" s="1"/>
      <c r="O290" s="2"/>
      <c r="P290" s="2"/>
      <c r="Q290" s="2"/>
      <c r="R290" s="2"/>
      <c r="S290" s="2"/>
      <c r="T290" s="2"/>
      <c r="U290" s="2"/>
      <c r="V290" s="2"/>
      <c r="W290" s="2"/>
      <c r="X290" s="2"/>
      <c r="Y290" s="2"/>
      <c r="Z290" s="1"/>
      <c r="AA290" s="1"/>
      <c r="AB290" s="1"/>
      <c r="AC290" s="1"/>
      <c r="AD290" s="1"/>
      <c r="AE290" s="1"/>
      <c r="AF290" s="1"/>
      <c r="AG290" s="1"/>
      <c r="AH290" s="1"/>
      <c r="AI290" s="1"/>
      <c r="AJ290" s="1"/>
      <c r="AK290" s="1"/>
    </row>
    <row r="291" ht="30.0" customHeight="1">
      <c r="A291" s="1"/>
      <c r="B291" s="1"/>
      <c r="C291" s="2"/>
      <c r="D291" s="2"/>
      <c r="E291" s="2"/>
      <c r="F291" s="2"/>
      <c r="G291" s="2"/>
      <c r="H291" s="2"/>
      <c r="I291" s="2"/>
      <c r="J291" s="2"/>
      <c r="K291" s="2"/>
      <c r="L291" s="2"/>
      <c r="M291" s="2"/>
      <c r="N291" s="1"/>
      <c r="O291" s="2"/>
      <c r="P291" s="2"/>
      <c r="Q291" s="2"/>
      <c r="R291" s="2"/>
      <c r="S291" s="2"/>
      <c r="T291" s="2"/>
      <c r="U291" s="2"/>
      <c r="V291" s="2"/>
      <c r="W291" s="2"/>
      <c r="X291" s="2"/>
      <c r="Y291" s="2"/>
      <c r="Z291" s="1"/>
      <c r="AA291" s="1"/>
      <c r="AB291" s="1"/>
      <c r="AC291" s="1"/>
      <c r="AD291" s="1"/>
      <c r="AE291" s="1"/>
      <c r="AF291" s="1"/>
      <c r="AG291" s="1"/>
      <c r="AH291" s="1"/>
      <c r="AI291" s="1"/>
      <c r="AJ291" s="1"/>
      <c r="AK291" s="1"/>
    </row>
    <row r="292" ht="30.0" customHeight="1">
      <c r="A292" s="1"/>
      <c r="B292" s="1"/>
      <c r="C292" s="2"/>
      <c r="D292" s="2"/>
      <c r="E292" s="2"/>
      <c r="F292" s="2"/>
      <c r="G292" s="2"/>
      <c r="H292" s="2"/>
      <c r="I292" s="2"/>
      <c r="J292" s="2"/>
      <c r="K292" s="2"/>
      <c r="L292" s="2"/>
      <c r="M292" s="2"/>
      <c r="N292" s="1"/>
      <c r="O292" s="2"/>
      <c r="P292" s="2"/>
      <c r="Q292" s="2"/>
      <c r="R292" s="2"/>
      <c r="S292" s="2"/>
      <c r="T292" s="2"/>
      <c r="U292" s="2"/>
      <c r="V292" s="2"/>
      <c r="W292" s="2"/>
      <c r="X292" s="2"/>
      <c r="Y292" s="2"/>
      <c r="Z292" s="1"/>
      <c r="AA292" s="1"/>
      <c r="AB292" s="1"/>
      <c r="AC292" s="1"/>
      <c r="AD292" s="1"/>
      <c r="AE292" s="1"/>
      <c r="AF292" s="1"/>
      <c r="AG292" s="1"/>
      <c r="AH292" s="1"/>
      <c r="AI292" s="1"/>
      <c r="AJ292" s="1"/>
      <c r="AK292" s="1"/>
    </row>
    <row r="293" ht="30.0" customHeight="1">
      <c r="A293" s="1"/>
      <c r="B293" s="1"/>
      <c r="C293" s="2"/>
      <c r="D293" s="2"/>
      <c r="E293" s="2"/>
      <c r="F293" s="2"/>
      <c r="G293" s="2"/>
      <c r="H293" s="2"/>
      <c r="I293" s="2"/>
      <c r="J293" s="2"/>
      <c r="K293" s="2"/>
      <c r="L293" s="2"/>
      <c r="M293" s="2"/>
      <c r="N293" s="1"/>
      <c r="O293" s="2"/>
      <c r="P293" s="2"/>
      <c r="Q293" s="2"/>
      <c r="R293" s="2"/>
      <c r="S293" s="2"/>
      <c r="T293" s="2"/>
      <c r="U293" s="2"/>
      <c r="V293" s="2"/>
      <c r="W293" s="2"/>
      <c r="X293" s="2"/>
      <c r="Y293" s="2"/>
      <c r="Z293" s="1"/>
      <c r="AA293" s="1"/>
      <c r="AB293" s="1"/>
      <c r="AC293" s="1"/>
      <c r="AD293" s="1"/>
      <c r="AE293" s="1"/>
      <c r="AF293" s="1"/>
      <c r="AG293" s="1"/>
      <c r="AH293" s="1"/>
      <c r="AI293" s="1"/>
      <c r="AJ293" s="1"/>
      <c r="AK293" s="1"/>
    </row>
    <row r="294" ht="30.0" customHeight="1">
      <c r="A294" s="1"/>
      <c r="B294" s="1"/>
      <c r="C294" s="2"/>
      <c r="D294" s="2"/>
      <c r="E294" s="2"/>
      <c r="F294" s="2"/>
      <c r="G294" s="2"/>
      <c r="H294" s="2"/>
      <c r="I294" s="2"/>
      <c r="J294" s="2"/>
      <c r="K294" s="2"/>
      <c r="L294" s="2"/>
      <c r="M294" s="2"/>
      <c r="N294" s="1"/>
      <c r="O294" s="2"/>
      <c r="P294" s="2"/>
      <c r="Q294" s="2"/>
      <c r="R294" s="2"/>
      <c r="S294" s="2"/>
      <c r="T294" s="2"/>
      <c r="U294" s="2"/>
      <c r="V294" s="2"/>
      <c r="W294" s="2"/>
      <c r="X294" s="2"/>
      <c r="Y294" s="2"/>
      <c r="Z294" s="1"/>
      <c r="AA294" s="1"/>
      <c r="AB294" s="1"/>
      <c r="AC294" s="1"/>
      <c r="AD294" s="1"/>
      <c r="AE294" s="1"/>
      <c r="AF294" s="1"/>
      <c r="AG294" s="1"/>
      <c r="AH294" s="1"/>
      <c r="AI294" s="1"/>
      <c r="AJ294" s="1"/>
      <c r="AK294" s="1"/>
    </row>
    <row r="295" ht="30.0" customHeight="1">
      <c r="A295" s="1"/>
      <c r="B295" s="1"/>
      <c r="C295" s="2"/>
      <c r="D295" s="2"/>
      <c r="E295" s="2"/>
      <c r="F295" s="2"/>
      <c r="G295" s="2"/>
      <c r="H295" s="2"/>
      <c r="I295" s="2"/>
      <c r="J295" s="2"/>
      <c r="K295" s="2"/>
      <c r="L295" s="2"/>
      <c r="M295" s="2"/>
      <c r="N295" s="1"/>
      <c r="O295" s="2"/>
      <c r="P295" s="2"/>
      <c r="Q295" s="2"/>
      <c r="R295" s="2"/>
      <c r="S295" s="2"/>
      <c r="T295" s="2"/>
      <c r="U295" s="2"/>
      <c r="V295" s="2"/>
      <c r="W295" s="2"/>
      <c r="X295" s="2"/>
      <c r="Y295" s="2"/>
      <c r="Z295" s="1"/>
      <c r="AA295" s="1"/>
      <c r="AB295" s="1"/>
      <c r="AC295" s="1"/>
      <c r="AD295" s="1"/>
      <c r="AE295" s="1"/>
      <c r="AF295" s="1"/>
      <c r="AG295" s="1"/>
      <c r="AH295" s="1"/>
      <c r="AI295" s="1"/>
      <c r="AJ295" s="1"/>
      <c r="AK295" s="1"/>
    </row>
    <row r="296" ht="30.0" customHeight="1">
      <c r="A296" s="1"/>
      <c r="B296" s="1"/>
      <c r="C296" s="2"/>
      <c r="D296" s="2"/>
      <c r="E296" s="2"/>
      <c r="F296" s="2"/>
      <c r="G296" s="2"/>
      <c r="H296" s="2"/>
      <c r="I296" s="2"/>
      <c r="J296" s="2"/>
      <c r="K296" s="2"/>
      <c r="L296" s="2"/>
      <c r="M296" s="2"/>
      <c r="N296" s="1"/>
      <c r="O296" s="2"/>
      <c r="P296" s="2"/>
      <c r="Q296" s="2"/>
      <c r="R296" s="2"/>
      <c r="S296" s="2"/>
      <c r="T296" s="2"/>
      <c r="U296" s="2"/>
      <c r="V296" s="2"/>
      <c r="W296" s="2"/>
      <c r="X296" s="2"/>
      <c r="Y296" s="2"/>
      <c r="Z296" s="1"/>
      <c r="AA296" s="1"/>
      <c r="AB296" s="1"/>
      <c r="AC296" s="1"/>
      <c r="AD296" s="1"/>
      <c r="AE296" s="1"/>
      <c r="AF296" s="1"/>
      <c r="AG296" s="1"/>
      <c r="AH296" s="1"/>
      <c r="AI296" s="1"/>
      <c r="AJ296" s="1"/>
      <c r="AK296" s="1"/>
    </row>
    <row r="297" ht="30.0" customHeight="1">
      <c r="A297" s="1"/>
      <c r="B297" s="1"/>
      <c r="C297" s="2"/>
      <c r="D297" s="2"/>
      <c r="E297" s="2"/>
      <c r="F297" s="2"/>
      <c r="G297" s="2"/>
      <c r="H297" s="2"/>
      <c r="I297" s="2"/>
      <c r="J297" s="2"/>
      <c r="K297" s="2"/>
      <c r="L297" s="2"/>
      <c r="M297" s="2"/>
      <c r="N297" s="1"/>
      <c r="O297" s="2"/>
      <c r="P297" s="2"/>
      <c r="Q297" s="2"/>
      <c r="R297" s="2"/>
      <c r="S297" s="2"/>
      <c r="T297" s="2"/>
      <c r="U297" s="2"/>
      <c r="V297" s="2"/>
      <c r="W297" s="2"/>
      <c r="X297" s="2"/>
      <c r="Y297" s="2"/>
      <c r="Z297" s="1"/>
      <c r="AA297" s="1"/>
      <c r="AB297" s="1"/>
      <c r="AC297" s="1"/>
      <c r="AD297" s="1"/>
      <c r="AE297" s="1"/>
      <c r="AF297" s="1"/>
      <c r="AG297" s="1"/>
      <c r="AH297" s="1"/>
      <c r="AI297" s="1"/>
      <c r="AJ297" s="1"/>
      <c r="AK297" s="1"/>
    </row>
    <row r="298" ht="30.0" customHeight="1">
      <c r="A298" s="1"/>
      <c r="B298" s="1"/>
      <c r="C298" s="2"/>
      <c r="D298" s="2"/>
      <c r="E298" s="2"/>
      <c r="F298" s="2"/>
      <c r="G298" s="2"/>
      <c r="H298" s="2"/>
      <c r="I298" s="2"/>
      <c r="J298" s="2"/>
      <c r="K298" s="2"/>
      <c r="L298" s="2"/>
      <c r="M298" s="2"/>
      <c r="N298" s="1"/>
      <c r="O298" s="2"/>
      <c r="P298" s="2"/>
      <c r="Q298" s="2"/>
      <c r="R298" s="2"/>
      <c r="S298" s="2"/>
      <c r="T298" s="2"/>
      <c r="U298" s="2"/>
      <c r="V298" s="2"/>
      <c r="W298" s="2"/>
      <c r="X298" s="2"/>
      <c r="Y298" s="2"/>
      <c r="Z298" s="1"/>
      <c r="AA298" s="1"/>
      <c r="AB298" s="1"/>
      <c r="AC298" s="1"/>
      <c r="AD298" s="1"/>
      <c r="AE298" s="1"/>
      <c r="AF298" s="1"/>
      <c r="AG298" s="1"/>
      <c r="AH298" s="1"/>
      <c r="AI298" s="1"/>
      <c r="AJ298" s="1"/>
      <c r="AK298" s="1"/>
    </row>
    <row r="299" ht="30.0" customHeight="1">
      <c r="A299" s="1"/>
      <c r="B299" s="1"/>
      <c r="C299" s="2"/>
      <c r="D299" s="2"/>
      <c r="E299" s="2"/>
      <c r="F299" s="2"/>
      <c r="G299" s="2"/>
      <c r="H299" s="2"/>
      <c r="I299" s="2"/>
      <c r="J299" s="2"/>
      <c r="K299" s="2"/>
      <c r="L299" s="2"/>
      <c r="M299" s="2"/>
      <c r="N299" s="1"/>
      <c r="O299" s="2"/>
      <c r="P299" s="2"/>
      <c r="Q299" s="2"/>
      <c r="R299" s="2"/>
      <c r="S299" s="2"/>
      <c r="T299" s="2"/>
      <c r="U299" s="2"/>
      <c r="V299" s="2"/>
      <c r="W299" s="2"/>
      <c r="X299" s="2"/>
      <c r="Y299" s="2"/>
      <c r="Z299" s="1"/>
      <c r="AA299" s="1"/>
      <c r="AB299" s="1"/>
      <c r="AC299" s="1"/>
      <c r="AD299" s="1"/>
      <c r="AE299" s="1"/>
      <c r="AF299" s="1"/>
      <c r="AG299" s="1"/>
      <c r="AH299" s="1"/>
      <c r="AI299" s="1"/>
      <c r="AJ299" s="1"/>
      <c r="AK299" s="1"/>
    </row>
    <row r="300" ht="30.0" customHeight="1">
      <c r="A300" s="1"/>
      <c r="B300" s="1"/>
      <c r="C300" s="2"/>
      <c r="D300" s="2"/>
      <c r="E300" s="2"/>
      <c r="F300" s="2"/>
      <c r="G300" s="2"/>
      <c r="H300" s="2"/>
      <c r="I300" s="2"/>
      <c r="J300" s="2"/>
      <c r="K300" s="2"/>
      <c r="L300" s="2"/>
      <c r="M300" s="2"/>
      <c r="N300" s="1"/>
      <c r="O300" s="2"/>
      <c r="P300" s="2"/>
      <c r="Q300" s="2"/>
      <c r="R300" s="2"/>
      <c r="S300" s="2"/>
      <c r="T300" s="2"/>
      <c r="U300" s="2"/>
      <c r="V300" s="2"/>
      <c r="W300" s="2"/>
      <c r="X300" s="2"/>
      <c r="Y300" s="2"/>
      <c r="Z300" s="1"/>
      <c r="AA300" s="1"/>
      <c r="AB300" s="1"/>
      <c r="AC300" s="1"/>
      <c r="AD300" s="1"/>
      <c r="AE300" s="1"/>
      <c r="AF300" s="1"/>
      <c r="AG300" s="1"/>
      <c r="AH300" s="1"/>
      <c r="AI300" s="1"/>
      <c r="AJ300" s="1"/>
      <c r="AK300" s="1"/>
    </row>
    <row r="301" ht="30.0" customHeight="1">
      <c r="A301" s="1"/>
      <c r="B301" s="1"/>
      <c r="C301" s="2"/>
      <c r="D301" s="2"/>
      <c r="E301" s="2"/>
      <c r="F301" s="2"/>
      <c r="G301" s="2"/>
      <c r="H301" s="2"/>
      <c r="I301" s="2"/>
      <c r="J301" s="2"/>
      <c r="K301" s="2"/>
      <c r="L301" s="2"/>
      <c r="M301" s="2"/>
      <c r="N301" s="1"/>
      <c r="O301" s="2"/>
      <c r="P301" s="2"/>
      <c r="Q301" s="2"/>
      <c r="R301" s="2"/>
      <c r="S301" s="2"/>
      <c r="T301" s="2"/>
      <c r="U301" s="2"/>
      <c r="V301" s="2"/>
      <c r="W301" s="2"/>
      <c r="X301" s="2"/>
      <c r="Y301" s="2"/>
      <c r="Z301" s="1"/>
      <c r="AA301" s="1"/>
      <c r="AB301" s="1"/>
      <c r="AC301" s="1"/>
      <c r="AD301" s="1"/>
      <c r="AE301" s="1"/>
      <c r="AF301" s="1"/>
      <c r="AG301" s="1"/>
      <c r="AH301" s="1"/>
      <c r="AI301" s="1"/>
      <c r="AJ301" s="1"/>
      <c r="AK301" s="1"/>
    </row>
    <row r="302" ht="30.0" customHeight="1">
      <c r="A302" s="1"/>
      <c r="B302" s="1"/>
      <c r="C302" s="2"/>
      <c r="D302" s="2"/>
      <c r="E302" s="2"/>
      <c r="F302" s="2"/>
      <c r="G302" s="2"/>
      <c r="H302" s="2"/>
      <c r="I302" s="2"/>
      <c r="J302" s="2"/>
      <c r="K302" s="2"/>
      <c r="L302" s="2"/>
      <c r="M302" s="2"/>
      <c r="N302" s="1"/>
      <c r="O302" s="2"/>
      <c r="P302" s="2"/>
      <c r="Q302" s="2"/>
      <c r="R302" s="2"/>
      <c r="S302" s="2"/>
      <c r="T302" s="2"/>
      <c r="U302" s="2"/>
      <c r="V302" s="2"/>
      <c r="W302" s="2"/>
      <c r="X302" s="2"/>
      <c r="Y302" s="2"/>
      <c r="Z302" s="1"/>
      <c r="AA302" s="1"/>
      <c r="AB302" s="1"/>
      <c r="AC302" s="1"/>
      <c r="AD302" s="1"/>
      <c r="AE302" s="1"/>
      <c r="AF302" s="1"/>
      <c r="AG302" s="1"/>
      <c r="AH302" s="1"/>
      <c r="AI302" s="1"/>
      <c r="AJ302" s="1"/>
      <c r="AK302" s="1"/>
    </row>
    <row r="303" ht="30.0" customHeight="1">
      <c r="A303" s="1"/>
      <c r="B303" s="1"/>
      <c r="C303" s="2"/>
      <c r="D303" s="2"/>
      <c r="E303" s="2"/>
      <c r="F303" s="2"/>
      <c r="G303" s="2"/>
      <c r="H303" s="2"/>
      <c r="I303" s="2"/>
      <c r="J303" s="2"/>
      <c r="K303" s="2"/>
      <c r="L303" s="2"/>
      <c r="M303" s="2"/>
      <c r="N303" s="1"/>
      <c r="O303" s="2"/>
      <c r="P303" s="2"/>
      <c r="Q303" s="2"/>
      <c r="R303" s="2"/>
      <c r="S303" s="2"/>
      <c r="T303" s="2"/>
      <c r="U303" s="2"/>
      <c r="V303" s="2"/>
      <c r="W303" s="2"/>
      <c r="X303" s="2"/>
      <c r="Y303" s="2"/>
      <c r="Z303" s="1"/>
      <c r="AA303" s="1"/>
      <c r="AB303" s="1"/>
      <c r="AC303" s="1"/>
      <c r="AD303" s="1"/>
      <c r="AE303" s="1"/>
      <c r="AF303" s="1"/>
      <c r="AG303" s="1"/>
      <c r="AH303" s="1"/>
      <c r="AI303" s="1"/>
      <c r="AJ303" s="1"/>
      <c r="AK303" s="1"/>
    </row>
    <row r="304" ht="30.0" customHeight="1">
      <c r="A304" s="1"/>
      <c r="B304" s="1"/>
      <c r="C304" s="2"/>
      <c r="D304" s="2"/>
      <c r="E304" s="2"/>
      <c r="F304" s="2"/>
      <c r="G304" s="2"/>
      <c r="H304" s="2"/>
      <c r="I304" s="2"/>
      <c r="J304" s="2"/>
      <c r="K304" s="2"/>
      <c r="L304" s="2"/>
      <c r="M304" s="2"/>
      <c r="N304" s="1"/>
      <c r="O304" s="2"/>
      <c r="P304" s="2"/>
      <c r="Q304" s="2"/>
      <c r="R304" s="2"/>
      <c r="S304" s="2"/>
      <c r="T304" s="2"/>
      <c r="U304" s="2"/>
      <c r="V304" s="2"/>
      <c r="W304" s="2"/>
      <c r="X304" s="2"/>
      <c r="Y304" s="2"/>
      <c r="Z304" s="1"/>
      <c r="AA304" s="1"/>
      <c r="AB304" s="1"/>
      <c r="AC304" s="1"/>
      <c r="AD304" s="1"/>
      <c r="AE304" s="1"/>
      <c r="AF304" s="1"/>
      <c r="AG304" s="1"/>
      <c r="AH304" s="1"/>
      <c r="AI304" s="1"/>
      <c r="AJ304" s="1"/>
      <c r="AK304" s="1"/>
    </row>
    <row r="305" ht="30.0" customHeight="1">
      <c r="A305" s="1"/>
      <c r="B305" s="1"/>
      <c r="C305" s="2"/>
      <c r="D305" s="2"/>
      <c r="E305" s="2"/>
      <c r="F305" s="2"/>
      <c r="G305" s="2"/>
      <c r="H305" s="2"/>
      <c r="I305" s="2"/>
      <c r="J305" s="2"/>
      <c r="K305" s="2"/>
      <c r="L305" s="2"/>
      <c r="M305" s="2"/>
      <c r="N305" s="1"/>
      <c r="O305" s="2"/>
      <c r="P305" s="2"/>
      <c r="Q305" s="2"/>
      <c r="R305" s="2"/>
      <c r="S305" s="2"/>
      <c r="T305" s="2"/>
      <c r="U305" s="2"/>
      <c r="V305" s="2"/>
      <c r="W305" s="2"/>
      <c r="X305" s="2"/>
      <c r="Y305" s="2"/>
      <c r="Z305" s="1"/>
      <c r="AA305" s="1"/>
      <c r="AB305" s="1"/>
      <c r="AC305" s="1"/>
      <c r="AD305" s="1"/>
      <c r="AE305" s="1"/>
      <c r="AF305" s="1"/>
      <c r="AG305" s="1"/>
      <c r="AH305" s="1"/>
      <c r="AI305" s="1"/>
      <c r="AJ305" s="1"/>
      <c r="AK305" s="1"/>
    </row>
    <row r="306" ht="30.0" customHeight="1">
      <c r="A306" s="1"/>
      <c r="B306" s="1"/>
      <c r="C306" s="2"/>
      <c r="D306" s="2"/>
      <c r="E306" s="2"/>
      <c r="F306" s="2"/>
      <c r="G306" s="2"/>
      <c r="H306" s="2"/>
      <c r="I306" s="2"/>
      <c r="J306" s="2"/>
      <c r="K306" s="2"/>
      <c r="L306" s="2"/>
      <c r="M306" s="2"/>
      <c r="N306" s="1"/>
      <c r="O306" s="2"/>
      <c r="P306" s="2"/>
      <c r="Q306" s="2"/>
      <c r="R306" s="2"/>
      <c r="S306" s="2"/>
      <c r="T306" s="2"/>
      <c r="U306" s="2"/>
      <c r="V306" s="2"/>
      <c r="W306" s="2"/>
      <c r="X306" s="2"/>
      <c r="Y306" s="2"/>
      <c r="Z306" s="1"/>
      <c r="AA306" s="1"/>
      <c r="AB306" s="1"/>
      <c r="AC306" s="1"/>
      <c r="AD306" s="1"/>
      <c r="AE306" s="1"/>
      <c r="AF306" s="1"/>
      <c r="AG306" s="1"/>
      <c r="AH306" s="1"/>
      <c r="AI306" s="1"/>
      <c r="AJ306" s="1"/>
      <c r="AK306" s="1"/>
    </row>
    <row r="307" ht="30.0" customHeight="1">
      <c r="A307" s="1"/>
      <c r="B307" s="1"/>
      <c r="C307" s="2"/>
      <c r="D307" s="2"/>
      <c r="E307" s="2"/>
      <c r="F307" s="2"/>
      <c r="G307" s="2"/>
      <c r="H307" s="2"/>
      <c r="I307" s="2"/>
      <c r="J307" s="2"/>
      <c r="K307" s="2"/>
      <c r="L307" s="2"/>
      <c r="M307" s="2"/>
      <c r="N307" s="1"/>
      <c r="O307" s="2"/>
      <c r="P307" s="2"/>
      <c r="Q307" s="2"/>
      <c r="R307" s="2"/>
      <c r="S307" s="2"/>
      <c r="T307" s="2"/>
      <c r="U307" s="2"/>
      <c r="V307" s="2"/>
      <c r="W307" s="2"/>
      <c r="X307" s="2"/>
      <c r="Y307" s="2"/>
      <c r="Z307" s="1"/>
      <c r="AA307" s="1"/>
      <c r="AB307" s="1"/>
      <c r="AC307" s="1"/>
      <c r="AD307" s="1"/>
      <c r="AE307" s="1"/>
      <c r="AF307" s="1"/>
      <c r="AG307" s="1"/>
      <c r="AH307" s="1"/>
      <c r="AI307" s="1"/>
      <c r="AJ307" s="1"/>
      <c r="AK307" s="1"/>
    </row>
    <row r="308" ht="30.0" customHeight="1">
      <c r="A308" s="1"/>
      <c r="B308" s="1"/>
      <c r="C308" s="2"/>
      <c r="D308" s="2"/>
      <c r="E308" s="2"/>
      <c r="F308" s="2"/>
      <c r="G308" s="2"/>
      <c r="H308" s="2"/>
      <c r="I308" s="2"/>
      <c r="J308" s="2"/>
      <c r="K308" s="2"/>
      <c r="L308" s="2"/>
      <c r="M308" s="2"/>
      <c r="N308" s="1"/>
      <c r="O308" s="2"/>
      <c r="P308" s="2"/>
      <c r="Q308" s="2"/>
      <c r="R308" s="2"/>
      <c r="S308" s="2"/>
      <c r="T308" s="2"/>
      <c r="U308" s="2"/>
      <c r="V308" s="2"/>
      <c r="W308" s="2"/>
      <c r="X308" s="2"/>
      <c r="Y308" s="2"/>
      <c r="Z308" s="1"/>
      <c r="AA308" s="1"/>
      <c r="AB308" s="1"/>
      <c r="AC308" s="1"/>
      <c r="AD308" s="1"/>
      <c r="AE308" s="1"/>
      <c r="AF308" s="1"/>
      <c r="AG308" s="1"/>
      <c r="AH308" s="1"/>
      <c r="AI308" s="1"/>
      <c r="AJ308" s="1"/>
      <c r="AK308" s="1"/>
    </row>
    <row r="309" ht="30.0" customHeight="1">
      <c r="A309" s="1"/>
      <c r="B309" s="1"/>
      <c r="C309" s="2"/>
      <c r="D309" s="2"/>
      <c r="E309" s="2"/>
      <c r="F309" s="2"/>
      <c r="G309" s="2"/>
      <c r="H309" s="2"/>
      <c r="I309" s="2"/>
      <c r="J309" s="2"/>
      <c r="K309" s="2"/>
      <c r="L309" s="2"/>
      <c r="M309" s="2"/>
      <c r="N309" s="1"/>
      <c r="O309" s="2"/>
      <c r="P309" s="2"/>
      <c r="Q309" s="2"/>
      <c r="R309" s="2"/>
      <c r="S309" s="2"/>
      <c r="T309" s="2"/>
      <c r="U309" s="2"/>
      <c r="V309" s="2"/>
      <c r="W309" s="2"/>
      <c r="X309" s="2"/>
      <c r="Y309" s="2"/>
      <c r="Z309" s="1"/>
      <c r="AA309" s="1"/>
      <c r="AB309" s="1"/>
      <c r="AC309" s="1"/>
      <c r="AD309" s="1"/>
      <c r="AE309" s="1"/>
      <c r="AF309" s="1"/>
      <c r="AG309" s="1"/>
      <c r="AH309" s="1"/>
      <c r="AI309" s="1"/>
      <c r="AJ309" s="1"/>
      <c r="AK309" s="1"/>
    </row>
    <row r="310" ht="30.0" customHeight="1">
      <c r="A310" s="1"/>
      <c r="B310" s="1"/>
      <c r="C310" s="2"/>
      <c r="D310" s="2"/>
      <c r="E310" s="2"/>
      <c r="F310" s="2"/>
      <c r="G310" s="2"/>
      <c r="H310" s="2"/>
      <c r="I310" s="2"/>
      <c r="J310" s="2"/>
      <c r="K310" s="2"/>
      <c r="L310" s="2"/>
      <c r="M310" s="2"/>
      <c r="N310" s="1"/>
      <c r="O310" s="2"/>
      <c r="P310" s="2"/>
      <c r="Q310" s="2"/>
      <c r="R310" s="2"/>
      <c r="S310" s="2"/>
      <c r="T310" s="2"/>
      <c r="U310" s="2"/>
      <c r="V310" s="2"/>
      <c r="W310" s="2"/>
      <c r="X310" s="2"/>
      <c r="Y310" s="2"/>
      <c r="Z310" s="1"/>
      <c r="AA310" s="1"/>
      <c r="AB310" s="1"/>
      <c r="AC310" s="1"/>
      <c r="AD310" s="1"/>
      <c r="AE310" s="1"/>
      <c r="AF310" s="1"/>
      <c r="AG310" s="1"/>
      <c r="AH310" s="1"/>
      <c r="AI310" s="1"/>
      <c r="AJ310" s="1"/>
      <c r="AK310" s="1"/>
    </row>
    <row r="311" ht="30.0" customHeight="1">
      <c r="A311" s="1"/>
      <c r="B311" s="1"/>
      <c r="C311" s="2"/>
      <c r="D311" s="2"/>
      <c r="E311" s="2"/>
      <c r="F311" s="2"/>
      <c r="G311" s="2"/>
      <c r="H311" s="2"/>
      <c r="I311" s="2"/>
      <c r="J311" s="2"/>
      <c r="K311" s="2"/>
      <c r="L311" s="2"/>
      <c r="M311" s="2"/>
      <c r="N311" s="1"/>
      <c r="O311" s="2"/>
      <c r="P311" s="2"/>
      <c r="Q311" s="2"/>
      <c r="R311" s="2"/>
      <c r="S311" s="2"/>
      <c r="T311" s="2"/>
      <c r="U311" s="2"/>
      <c r="V311" s="2"/>
      <c r="W311" s="2"/>
      <c r="X311" s="2"/>
      <c r="Y311" s="2"/>
      <c r="Z311" s="1"/>
      <c r="AA311" s="1"/>
      <c r="AB311" s="1"/>
      <c r="AC311" s="1"/>
      <c r="AD311" s="1"/>
      <c r="AE311" s="1"/>
      <c r="AF311" s="1"/>
      <c r="AG311" s="1"/>
      <c r="AH311" s="1"/>
      <c r="AI311" s="1"/>
      <c r="AJ311" s="1"/>
      <c r="AK311" s="1"/>
    </row>
    <row r="312" ht="30.0" customHeight="1">
      <c r="A312" s="1"/>
      <c r="B312" s="1"/>
      <c r="C312" s="2"/>
      <c r="D312" s="2"/>
      <c r="E312" s="2"/>
      <c r="F312" s="2"/>
      <c r="G312" s="2"/>
      <c r="H312" s="2"/>
      <c r="I312" s="2"/>
      <c r="J312" s="2"/>
      <c r="K312" s="2"/>
      <c r="L312" s="2"/>
      <c r="M312" s="2"/>
      <c r="N312" s="1"/>
      <c r="O312" s="2"/>
      <c r="P312" s="2"/>
      <c r="Q312" s="2"/>
      <c r="R312" s="2"/>
      <c r="S312" s="2"/>
      <c r="T312" s="2"/>
      <c r="U312" s="2"/>
      <c r="V312" s="2"/>
      <c r="W312" s="2"/>
      <c r="X312" s="2"/>
      <c r="Y312" s="2"/>
      <c r="Z312" s="1"/>
      <c r="AA312" s="1"/>
      <c r="AB312" s="1"/>
      <c r="AC312" s="1"/>
      <c r="AD312" s="1"/>
      <c r="AE312" s="1"/>
      <c r="AF312" s="1"/>
      <c r="AG312" s="1"/>
      <c r="AH312" s="1"/>
      <c r="AI312" s="1"/>
      <c r="AJ312" s="1"/>
      <c r="AK312" s="1"/>
    </row>
    <row r="313" ht="30.0" customHeight="1">
      <c r="A313" s="1"/>
      <c r="B313" s="1"/>
      <c r="C313" s="2"/>
      <c r="D313" s="2"/>
      <c r="E313" s="2"/>
      <c r="F313" s="2"/>
      <c r="G313" s="2"/>
      <c r="H313" s="2"/>
      <c r="I313" s="2"/>
      <c r="J313" s="2"/>
      <c r="K313" s="2"/>
      <c r="L313" s="2"/>
      <c r="M313" s="2"/>
      <c r="N313" s="1"/>
      <c r="O313" s="2"/>
      <c r="P313" s="2"/>
      <c r="Q313" s="2"/>
      <c r="R313" s="2"/>
      <c r="S313" s="2"/>
      <c r="T313" s="2"/>
      <c r="U313" s="2"/>
      <c r="V313" s="2"/>
      <c r="W313" s="2"/>
      <c r="X313" s="2"/>
      <c r="Y313" s="2"/>
      <c r="Z313" s="1"/>
      <c r="AA313" s="1"/>
      <c r="AB313" s="1"/>
      <c r="AC313" s="1"/>
      <c r="AD313" s="1"/>
      <c r="AE313" s="1"/>
      <c r="AF313" s="1"/>
      <c r="AG313" s="1"/>
      <c r="AH313" s="1"/>
      <c r="AI313" s="1"/>
      <c r="AJ313" s="1"/>
      <c r="AK313" s="1"/>
    </row>
    <row r="314" ht="30.0" customHeight="1">
      <c r="A314" s="1"/>
      <c r="B314" s="1"/>
      <c r="C314" s="2"/>
      <c r="D314" s="2"/>
      <c r="E314" s="2"/>
      <c r="F314" s="2"/>
      <c r="G314" s="2"/>
      <c r="H314" s="2"/>
      <c r="I314" s="2"/>
      <c r="J314" s="2"/>
      <c r="K314" s="2"/>
      <c r="L314" s="2"/>
      <c r="M314" s="2"/>
      <c r="N314" s="1"/>
      <c r="O314" s="2"/>
      <c r="P314" s="2"/>
      <c r="Q314" s="2"/>
      <c r="R314" s="2"/>
      <c r="S314" s="2"/>
      <c r="T314" s="2"/>
      <c r="U314" s="2"/>
      <c r="V314" s="2"/>
      <c r="W314" s="2"/>
      <c r="X314" s="2"/>
      <c r="Y314" s="2"/>
      <c r="Z314" s="1"/>
      <c r="AA314" s="1"/>
      <c r="AB314" s="1"/>
      <c r="AC314" s="1"/>
      <c r="AD314" s="1"/>
      <c r="AE314" s="1"/>
      <c r="AF314" s="1"/>
      <c r="AG314" s="1"/>
      <c r="AH314" s="1"/>
      <c r="AI314" s="1"/>
      <c r="AJ314" s="1"/>
      <c r="AK314" s="1"/>
    </row>
    <row r="315" ht="30.0" customHeight="1">
      <c r="A315" s="1"/>
      <c r="B315" s="1"/>
      <c r="C315" s="2"/>
      <c r="D315" s="2"/>
      <c r="E315" s="2"/>
      <c r="F315" s="2"/>
      <c r="G315" s="2"/>
      <c r="H315" s="2"/>
      <c r="I315" s="2"/>
      <c r="J315" s="2"/>
      <c r="K315" s="2"/>
      <c r="L315" s="2"/>
      <c r="M315" s="2"/>
      <c r="N315" s="1"/>
      <c r="O315" s="2"/>
      <c r="P315" s="2"/>
      <c r="Q315" s="2"/>
      <c r="R315" s="2"/>
      <c r="S315" s="2"/>
      <c r="T315" s="2"/>
      <c r="U315" s="2"/>
      <c r="V315" s="2"/>
      <c r="W315" s="2"/>
      <c r="X315" s="2"/>
      <c r="Y315" s="2"/>
      <c r="Z315" s="1"/>
      <c r="AA315" s="1"/>
      <c r="AB315" s="1"/>
      <c r="AC315" s="1"/>
      <c r="AD315" s="1"/>
      <c r="AE315" s="1"/>
      <c r="AF315" s="1"/>
      <c r="AG315" s="1"/>
      <c r="AH315" s="1"/>
      <c r="AI315" s="1"/>
      <c r="AJ315" s="1"/>
      <c r="AK315" s="1"/>
    </row>
    <row r="316" ht="30.0" customHeight="1">
      <c r="A316" s="1"/>
      <c r="B316" s="1"/>
      <c r="C316" s="2"/>
      <c r="D316" s="2"/>
      <c r="E316" s="2"/>
      <c r="F316" s="2"/>
      <c r="G316" s="2"/>
      <c r="H316" s="2"/>
      <c r="I316" s="2"/>
      <c r="J316" s="2"/>
      <c r="K316" s="2"/>
      <c r="L316" s="2"/>
      <c r="M316" s="2"/>
      <c r="N316" s="1"/>
      <c r="O316" s="2"/>
      <c r="P316" s="2"/>
      <c r="Q316" s="2"/>
      <c r="R316" s="2"/>
      <c r="S316" s="2"/>
      <c r="T316" s="2"/>
      <c r="U316" s="2"/>
      <c r="V316" s="2"/>
      <c r="W316" s="2"/>
      <c r="X316" s="2"/>
      <c r="Y316" s="2"/>
      <c r="Z316" s="1"/>
      <c r="AA316" s="1"/>
      <c r="AB316" s="1"/>
      <c r="AC316" s="1"/>
      <c r="AD316" s="1"/>
      <c r="AE316" s="1"/>
      <c r="AF316" s="1"/>
      <c r="AG316" s="1"/>
      <c r="AH316" s="1"/>
      <c r="AI316" s="1"/>
      <c r="AJ316" s="1"/>
      <c r="AK316" s="1"/>
    </row>
    <row r="317" ht="30.0" customHeight="1">
      <c r="A317" s="1"/>
      <c r="B317" s="1"/>
      <c r="C317" s="2"/>
      <c r="D317" s="2"/>
      <c r="E317" s="2"/>
      <c r="F317" s="2"/>
      <c r="G317" s="2"/>
      <c r="H317" s="2"/>
      <c r="I317" s="2"/>
      <c r="J317" s="2"/>
      <c r="K317" s="2"/>
      <c r="L317" s="2"/>
      <c r="M317" s="2"/>
      <c r="N317" s="1"/>
      <c r="O317" s="2"/>
      <c r="P317" s="2"/>
      <c r="Q317" s="2"/>
      <c r="R317" s="2"/>
      <c r="S317" s="2"/>
      <c r="T317" s="2"/>
      <c r="U317" s="2"/>
      <c r="V317" s="2"/>
      <c r="W317" s="2"/>
      <c r="X317" s="2"/>
      <c r="Y317" s="2"/>
      <c r="Z317" s="1"/>
      <c r="AA317" s="1"/>
      <c r="AB317" s="1"/>
      <c r="AC317" s="1"/>
      <c r="AD317" s="1"/>
      <c r="AE317" s="1"/>
      <c r="AF317" s="1"/>
      <c r="AG317" s="1"/>
      <c r="AH317" s="1"/>
      <c r="AI317" s="1"/>
      <c r="AJ317" s="1"/>
      <c r="AK317" s="1"/>
    </row>
    <row r="318" ht="30.0" customHeight="1">
      <c r="A318" s="1"/>
      <c r="B318" s="1"/>
      <c r="C318" s="2"/>
      <c r="D318" s="2"/>
      <c r="E318" s="2"/>
      <c r="F318" s="2"/>
      <c r="G318" s="2"/>
      <c r="H318" s="2"/>
      <c r="I318" s="2"/>
      <c r="J318" s="2"/>
      <c r="K318" s="2"/>
      <c r="L318" s="2"/>
      <c r="M318" s="2"/>
      <c r="N318" s="1"/>
      <c r="O318" s="2"/>
      <c r="P318" s="2"/>
      <c r="Q318" s="2"/>
      <c r="R318" s="2"/>
      <c r="S318" s="2"/>
      <c r="T318" s="2"/>
      <c r="U318" s="2"/>
      <c r="V318" s="2"/>
      <c r="W318" s="2"/>
      <c r="X318" s="2"/>
      <c r="Y318" s="2"/>
      <c r="Z318" s="1"/>
      <c r="AA318" s="1"/>
      <c r="AB318" s="1"/>
      <c r="AC318" s="1"/>
      <c r="AD318" s="1"/>
      <c r="AE318" s="1"/>
      <c r="AF318" s="1"/>
      <c r="AG318" s="1"/>
      <c r="AH318" s="1"/>
      <c r="AI318" s="1"/>
      <c r="AJ318" s="1"/>
      <c r="AK318" s="1"/>
    </row>
    <row r="319" ht="30.0" customHeight="1">
      <c r="A319" s="1"/>
      <c r="B319" s="1"/>
      <c r="C319" s="2"/>
      <c r="D319" s="2"/>
      <c r="E319" s="2"/>
      <c r="F319" s="2"/>
      <c r="G319" s="2"/>
      <c r="H319" s="2"/>
      <c r="I319" s="2"/>
      <c r="J319" s="2"/>
      <c r="K319" s="2"/>
      <c r="L319" s="2"/>
      <c r="M319" s="2"/>
      <c r="N319" s="1"/>
      <c r="O319" s="2"/>
      <c r="P319" s="2"/>
      <c r="Q319" s="2"/>
      <c r="R319" s="2"/>
      <c r="S319" s="2"/>
      <c r="T319" s="2"/>
      <c r="U319" s="2"/>
      <c r="V319" s="2"/>
      <c r="W319" s="2"/>
      <c r="X319" s="2"/>
      <c r="Y319" s="2"/>
      <c r="Z319" s="1"/>
      <c r="AA319" s="1"/>
      <c r="AB319" s="1"/>
      <c r="AC319" s="1"/>
      <c r="AD319" s="1"/>
      <c r="AE319" s="1"/>
      <c r="AF319" s="1"/>
      <c r="AG319" s="1"/>
      <c r="AH319" s="1"/>
      <c r="AI319" s="1"/>
      <c r="AJ319" s="1"/>
      <c r="AK319" s="1"/>
    </row>
    <row r="320" ht="30.0" customHeight="1">
      <c r="A320" s="1"/>
      <c r="B320" s="1"/>
      <c r="C320" s="2"/>
      <c r="D320" s="2"/>
      <c r="E320" s="2"/>
      <c r="F320" s="2"/>
      <c r="G320" s="2"/>
      <c r="H320" s="2"/>
      <c r="I320" s="2"/>
      <c r="J320" s="2"/>
      <c r="K320" s="2"/>
      <c r="L320" s="2"/>
      <c r="M320" s="2"/>
      <c r="N320" s="1"/>
      <c r="O320" s="2"/>
      <c r="P320" s="2"/>
      <c r="Q320" s="2"/>
      <c r="R320" s="2"/>
      <c r="S320" s="2"/>
      <c r="T320" s="2"/>
      <c r="U320" s="2"/>
      <c r="V320" s="2"/>
      <c r="W320" s="2"/>
      <c r="X320" s="2"/>
      <c r="Y320" s="2"/>
      <c r="Z320" s="1"/>
      <c r="AA320" s="1"/>
      <c r="AB320" s="1"/>
      <c r="AC320" s="1"/>
      <c r="AD320" s="1"/>
      <c r="AE320" s="1"/>
      <c r="AF320" s="1"/>
      <c r="AG320" s="1"/>
      <c r="AH320" s="1"/>
      <c r="AI320" s="1"/>
      <c r="AJ320" s="1"/>
      <c r="AK320" s="1"/>
    </row>
    <row r="321" ht="30.0" customHeight="1">
      <c r="A321" s="1"/>
      <c r="B321" s="1"/>
      <c r="C321" s="2"/>
      <c r="D321" s="2"/>
      <c r="E321" s="2"/>
      <c r="F321" s="2"/>
      <c r="G321" s="2"/>
      <c r="H321" s="2"/>
      <c r="I321" s="2"/>
      <c r="J321" s="2"/>
      <c r="K321" s="2"/>
      <c r="L321" s="2"/>
      <c r="M321" s="2"/>
      <c r="N321" s="1"/>
      <c r="O321" s="2"/>
      <c r="P321" s="2"/>
      <c r="Q321" s="2"/>
      <c r="R321" s="2"/>
      <c r="S321" s="2"/>
      <c r="T321" s="2"/>
      <c r="U321" s="2"/>
      <c r="V321" s="2"/>
      <c r="W321" s="2"/>
      <c r="X321" s="2"/>
      <c r="Y321" s="2"/>
      <c r="Z321" s="1"/>
      <c r="AA321" s="1"/>
      <c r="AB321" s="1"/>
      <c r="AC321" s="1"/>
      <c r="AD321" s="1"/>
      <c r="AE321" s="1"/>
      <c r="AF321" s="1"/>
      <c r="AG321" s="1"/>
      <c r="AH321" s="1"/>
      <c r="AI321" s="1"/>
      <c r="AJ321" s="1"/>
      <c r="AK321" s="1"/>
    </row>
    <row r="322" ht="30.0" customHeight="1">
      <c r="A322" s="1"/>
      <c r="B322" s="1"/>
      <c r="C322" s="2"/>
      <c r="D322" s="2"/>
      <c r="E322" s="2"/>
      <c r="F322" s="2"/>
      <c r="G322" s="2"/>
      <c r="H322" s="2"/>
      <c r="I322" s="2"/>
      <c r="J322" s="2"/>
      <c r="K322" s="2"/>
      <c r="L322" s="2"/>
      <c r="M322" s="2"/>
      <c r="N322" s="1"/>
      <c r="O322" s="2"/>
      <c r="P322" s="2"/>
      <c r="Q322" s="2"/>
      <c r="R322" s="2"/>
      <c r="S322" s="2"/>
      <c r="T322" s="2"/>
      <c r="U322" s="2"/>
      <c r="V322" s="2"/>
      <c r="W322" s="2"/>
      <c r="X322" s="2"/>
      <c r="Y322" s="2"/>
      <c r="Z322" s="1"/>
      <c r="AA322" s="1"/>
      <c r="AB322" s="1"/>
      <c r="AC322" s="1"/>
      <c r="AD322" s="1"/>
      <c r="AE322" s="1"/>
      <c r="AF322" s="1"/>
      <c r="AG322" s="1"/>
      <c r="AH322" s="1"/>
      <c r="AI322" s="1"/>
      <c r="AJ322" s="1"/>
      <c r="AK322" s="1"/>
    </row>
    <row r="323" ht="30.0" customHeight="1">
      <c r="A323" s="1"/>
      <c r="B323" s="1"/>
      <c r="C323" s="2"/>
      <c r="D323" s="2"/>
      <c r="E323" s="2"/>
      <c r="F323" s="2"/>
      <c r="G323" s="2"/>
      <c r="H323" s="2"/>
      <c r="I323" s="2"/>
      <c r="J323" s="2"/>
      <c r="K323" s="2"/>
      <c r="L323" s="2"/>
      <c r="M323" s="2"/>
      <c r="N323" s="1"/>
      <c r="O323" s="2"/>
      <c r="P323" s="2"/>
      <c r="Q323" s="2"/>
      <c r="R323" s="2"/>
      <c r="S323" s="2"/>
      <c r="T323" s="2"/>
      <c r="U323" s="2"/>
      <c r="V323" s="2"/>
      <c r="W323" s="2"/>
      <c r="X323" s="2"/>
      <c r="Y323" s="2"/>
      <c r="Z323" s="1"/>
      <c r="AA323" s="1"/>
      <c r="AB323" s="1"/>
      <c r="AC323" s="1"/>
      <c r="AD323" s="1"/>
      <c r="AE323" s="1"/>
      <c r="AF323" s="1"/>
      <c r="AG323" s="1"/>
      <c r="AH323" s="1"/>
      <c r="AI323" s="1"/>
      <c r="AJ323" s="1"/>
      <c r="AK323" s="1"/>
    </row>
    <row r="324" ht="30.0" customHeight="1">
      <c r="A324" s="1"/>
      <c r="B324" s="1"/>
      <c r="C324" s="2"/>
      <c r="D324" s="2"/>
      <c r="E324" s="2"/>
      <c r="F324" s="2"/>
      <c r="G324" s="2"/>
      <c r="H324" s="2"/>
      <c r="I324" s="2"/>
      <c r="J324" s="2"/>
      <c r="K324" s="2"/>
      <c r="L324" s="2"/>
      <c r="M324" s="2"/>
      <c r="N324" s="1"/>
      <c r="O324" s="2"/>
      <c r="P324" s="2"/>
      <c r="Q324" s="2"/>
      <c r="R324" s="2"/>
      <c r="S324" s="2"/>
      <c r="T324" s="2"/>
      <c r="U324" s="2"/>
      <c r="V324" s="2"/>
      <c r="W324" s="2"/>
      <c r="X324" s="2"/>
      <c r="Y324" s="2"/>
      <c r="Z324" s="1"/>
      <c r="AA324" s="1"/>
      <c r="AB324" s="1"/>
      <c r="AC324" s="1"/>
      <c r="AD324" s="1"/>
      <c r="AE324" s="1"/>
      <c r="AF324" s="1"/>
      <c r="AG324" s="1"/>
      <c r="AH324" s="1"/>
      <c r="AI324" s="1"/>
      <c r="AJ324" s="1"/>
      <c r="AK324" s="1"/>
    </row>
    <row r="325" ht="30.0" customHeight="1">
      <c r="A325" s="1"/>
      <c r="B325" s="1"/>
      <c r="C325" s="2"/>
      <c r="D325" s="2"/>
      <c r="E325" s="2"/>
      <c r="F325" s="2"/>
      <c r="G325" s="2"/>
      <c r="H325" s="2"/>
      <c r="I325" s="2"/>
      <c r="J325" s="2"/>
      <c r="K325" s="2"/>
      <c r="L325" s="2"/>
      <c r="M325" s="2"/>
      <c r="N325" s="1"/>
      <c r="O325" s="2"/>
      <c r="P325" s="2"/>
      <c r="Q325" s="2"/>
      <c r="R325" s="2"/>
      <c r="S325" s="2"/>
      <c r="T325" s="2"/>
      <c r="U325" s="2"/>
      <c r="V325" s="2"/>
      <c r="W325" s="2"/>
      <c r="X325" s="2"/>
      <c r="Y325" s="2"/>
      <c r="Z325" s="1"/>
      <c r="AA325" s="1"/>
      <c r="AB325" s="1"/>
      <c r="AC325" s="1"/>
      <c r="AD325" s="1"/>
      <c r="AE325" s="1"/>
      <c r="AF325" s="1"/>
      <c r="AG325" s="1"/>
      <c r="AH325" s="1"/>
      <c r="AI325" s="1"/>
      <c r="AJ325" s="1"/>
      <c r="AK325" s="1"/>
    </row>
    <row r="326" ht="30.0" customHeight="1">
      <c r="A326" s="1"/>
      <c r="B326" s="1"/>
      <c r="C326" s="2"/>
      <c r="D326" s="2"/>
      <c r="E326" s="2"/>
      <c r="F326" s="2"/>
      <c r="G326" s="2"/>
      <c r="H326" s="2"/>
      <c r="I326" s="2"/>
      <c r="J326" s="2"/>
      <c r="K326" s="2"/>
      <c r="L326" s="2"/>
      <c r="M326" s="2"/>
      <c r="N326" s="1"/>
      <c r="O326" s="2"/>
      <c r="P326" s="2"/>
      <c r="Q326" s="2"/>
      <c r="R326" s="2"/>
      <c r="S326" s="2"/>
      <c r="T326" s="2"/>
      <c r="U326" s="2"/>
      <c r="V326" s="2"/>
      <c r="W326" s="2"/>
      <c r="X326" s="2"/>
      <c r="Y326" s="2"/>
      <c r="Z326" s="1"/>
      <c r="AA326" s="1"/>
      <c r="AB326" s="1"/>
      <c r="AC326" s="1"/>
      <c r="AD326" s="1"/>
      <c r="AE326" s="1"/>
      <c r="AF326" s="1"/>
      <c r="AG326" s="1"/>
      <c r="AH326" s="1"/>
      <c r="AI326" s="1"/>
      <c r="AJ326" s="1"/>
      <c r="AK326" s="1"/>
    </row>
    <row r="327" ht="30.0" customHeight="1">
      <c r="A327" s="1"/>
      <c r="B327" s="1"/>
      <c r="C327" s="2"/>
      <c r="D327" s="2"/>
      <c r="E327" s="2"/>
      <c r="F327" s="2"/>
      <c r="G327" s="2"/>
      <c r="H327" s="2"/>
      <c r="I327" s="2"/>
      <c r="J327" s="2"/>
      <c r="K327" s="2"/>
      <c r="L327" s="2"/>
      <c r="M327" s="2"/>
      <c r="N327" s="1"/>
      <c r="O327" s="2"/>
      <c r="P327" s="2"/>
      <c r="Q327" s="2"/>
      <c r="R327" s="2"/>
      <c r="S327" s="2"/>
      <c r="T327" s="2"/>
      <c r="U327" s="2"/>
      <c r="V327" s="2"/>
      <c r="W327" s="2"/>
      <c r="X327" s="2"/>
      <c r="Y327" s="2"/>
      <c r="Z327" s="1"/>
      <c r="AA327" s="1"/>
      <c r="AB327" s="1"/>
      <c r="AC327" s="1"/>
      <c r="AD327" s="1"/>
      <c r="AE327" s="1"/>
      <c r="AF327" s="1"/>
      <c r="AG327" s="1"/>
      <c r="AH327" s="1"/>
      <c r="AI327" s="1"/>
      <c r="AJ327" s="1"/>
      <c r="AK327" s="1"/>
    </row>
    <row r="328" ht="30.0" customHeight="1">
      <c r="A328" s="1"/>
      <c r="B328" s="1"/>
      <c r="C328" s="2"/>
      <c r="D328" s="2"/>
      <c r="E328" s="2"/>
      <c r="F328" s="2"/>
      <c r="G328" s="2"/>
      <c r="H328" s="2"/>
      <c r="I328" s="2"/>
      <c r="J328" s="2"/>
      <c r="K328" s="2"/>
      <c r="L328" s="2"/>
      <c r="M328" s="2"/>
      <c r="N328" s="1"/>
      <c r="O328" s="2"/>
      <c r="P328" s="2"/>
      <c r="Q328" s="2"/>
      <c r="R328" s="2"/>
      <c r="S328" s="2"/>
      <c r="T328" s="2"/>
      <c r="U328" s="2"/>
      <c r="V328" s="2"/>
      <c r="W328" s="2"/>
      <c r="X328" s="2"/>
      <c r="Y328" s="2"/>
      <c r="Z328" s="1"/>
      <c r="AA328" s="1"/>
      <c r="AB328" s="1"/>
      <c r="AC328" s="1"/>
      <c r="AD328" s="1"/>
      <c r="AE328" s="1"/>
      <c r="AF328" s="1"/>
      <c r="AG328" s="1"/>
      <c r="AH328" s="1"/>
      <c r="AI328" s="1"/>
      <c r="AJ328" s="1"/>
      <c r="AK328" s="1"/>
    </row>
    <row r="329" ht="30.0" customHeight="1">
      <c r="A329" s="1"/>
      <c r="B329" s="1"/>
      <c r="C329" s="2"/>
      <c r="D329" s="2"/>
      <c r="E329" s="2"/>
      <c r="F329" s="2"/>
      <c r="G329" s="2"/>
      <c r="H329" s="2"/>
      <c r="I329" s="2"/>
      <c r="J329" s="2"/>
      <c r="K329" s="2"/>
      <c r="L329" s="2"/>
      <c r="M329" s="2"/>
      <c r="N329" s="1"/>
      <c r="O329" s="2"/>
      <c r="P329" s="2"/>
      <c r="Q329" s="2"/>
      <c r="R329" s="2"/>
      <c r="S329" s="2"/>
      <c r="T329" s="2"/>
      <c r="U329" s="2"/>
      <c r="V329" s="2"/>
      <c r="W329" s="2"/>
      <c r="X329" s="2"/>
      <c r="Y329" s="2"/>
      <c r="Z329" s="1"/>
      <c r="AA329" s="1"/>
      <c r="AB329" s="1"/>
      <c r="AC329" s="1"/>
      <c r="AD329" s="1"/>
      <c r="AE329" s="1"/>
      <c r="AF329" s="1"/>
      <c r="AG329" s="1"/>
      <c r="AH329" s="1"/>
      <c r="AI329" s="1"/>
      <c r="AJ329" s="1"/>
      <c r="AK329" s="1"/>
    </row>
    <row r="330" ht="30.0" customHeight="1">
      <c r="A330" s="1"/>
      <c r="B330" s="1"/>
      <c r="C330" s="2"/>
      <c r="D330" s="2"/>
      <c r="E330" s="2"/>
      <c r="F330" s="2"/>
      <c r="G330" s="2"/>
      <c r="H330" s="2"/>
      <c r="I330" s="2"/>
      <c r="J330" s="2"/>
      <c r="K330" s="2"/>
      <c r="L330" s="2"/>
      <c r="M330" s="2"/>
      <c r="N330" s="1"/>
      <c r="O330" s="2"/>
      <c r="P330" s="2"/>
      <c r="Q330" s="2"/>
      <c r="R330" s="2"/>
      <c r="S330" s="2"/>
      <c r="T330" s="2"/>
      <c r="U330" s="2"/>
      <c r="V330" s="2"/>
      <c r="W330" s="2"/>
      <c r="X330" s="2"/>
      <c r="Y330" s="2"/>
      <c r="Z330" s="1"/>
      <c r="AA330" s="1"/>
      <c r="AB330" s="1"/>
      <c r="AC330" s="1"/>
      <c r="AD330" s="1"/>
      <c r="AE330" s="1"/>
      <c r="AF330" s="1"/>
      <c r="AG330" s="1"/>
      <c r="AH330" s="1"/>
      <c r="AI330" s="1"/>
      <c r="AJ330" s="1"/>
      <c r="AK330" s="1"/>
    </row>
    <row r="331" ht="30.0" customHeight="1">
      <c r="A331" s="1"/>
      <c r="B331" s="1"/>
      <c r="C331" s="2"/>
      <c r="D331" s="2"/>
      <c r="E331" s="2"/>
      <c r="F331" s="2"/>
      <c r="G331" s="2"/>
      <c r="H331" s="2"/>
      <c r="I331" s="2"/>
      <c r="J331" s="2"/>
      <c r="K331" s="2"/>
      <c r="L331" s="2"/>
      <c r="M331" s="2"/>
      <c r="N331" s="1"/>
      <c r="O331" s="2"/>
      <c r="P331" s="2"/>
      <c r="Q331" s="2"/>
      <c r="R331" s="2"/>
      <c r="S331" s="2"/>
      <c r="T331" s="2"/>
      <c r="U331" s="2"/>
      <c r="V331" s="2"/>
      <c r="W331" s="2"/>
      <c r="X331" s="2"/>
      <c r="Y331" s="2"/>
      <c r="Z331" s="1"/>
      <c r="AA331" s="1"/>
      <c r="AB331" s="1"/>
      <c r="AC331" s="1"/>
      <c r="AD331" s="1"/>
      <c r="AE331" s="1"/>
      <c r="AF331" s="1"/>
      <c r="AG331" s="1"/>
      <c r="AH331" s="1"/>
      <c r="AI331" s="1"/>
      <c r="AJ331" s="1"/>
      <c r="AK331" s="1"/>
    </row>
    <row r="332" ht="30.0" customHeight="1">
      <c r="A332" s="1"/>
      <c r="B332" s="1"/>
      <c r="C332" s="2"/>
      <c r="D332" s="2"/>
      <c r="E332" s="2"/>
      <c r="F332" s="2"/>
      <c r="G332" s="2"/>
      <c r="H332" s="2"/>
      <c r="I332" s="2"/>
      <c r="J332" s="2"/>
      <c r="K332" s="2"/>
      <c r="L332" s="2"/>
      <c r="M332" s="2"/>
      <c r="N332" s="1"/>
      <c r="O332" s="2"/>
      <c r="P332" s="2"/>
      <c r="Q332" s="2"/>
      <c r="R332" s="2"/>
      <c r="S332" s="2"/>
      <c r="T332" s="2"/>
      <c r="U332" s="2"/>
      <c r="V332" s="2"/>
      <c r="W332" s="2"/>
      <c r="X332" s="2"/>
      <c r="Y332" s="2"/>
      <c r="Z332" s="1"/>
      <c r="AA332" s="1"/>
      <c r="AB332" s="1"/>
      <c r="AC332" s="1"/>
      <c r="AD332" s="1"/>
      <c r="AE332" s="1"/>
      <c r="AF332" s="1"/>
      <c r="AG332" s="1"/>
      <c r="AH332" s="1"/>
      <c r="AI332" s="1"/>
      <c r="AJ332" s="1"/>
      <c r="AK332" s="1"/>
    </row>
    <row r="333" ht="30.0" customHeight="1">
      <c r="A333" s="1"/>
      <c r="B333" s="1"/>
      <c r="C333" s="2"/>
      <c r="D333" s="2"/>
      <c r="E333" s="2"/>
      <c r="F333" s="2"/>
      <c r="G333" s="2"/>
      <c r="H333" s="2"/>
      <c r="I333" s="2"/>
      <c r="J333" s="2"/>
      <c r="K333" s="2"/>
      <c r="L333" s="2"/>
      <c r="M333" s="2"/>
      <c r="N333" s="1"/>
      <c r="O333" s="2"/>
      <c r="P333" s="2"/>
      <c r="Q333" s="2"/>
      <c r="R333" s="2"/>
      <c r="S333" s="2"/>
      <c r="T333" s="2"/>
      <c r="U333" s="2"/>
      <c r="V333" s="2"/>
      <c r="W333" s="2"/>
      <c r="X333" s="2"/>
      <c r="Y333" s="2"/>
      <c r="Z333" s="1"/>
      <c r="AA333" s="1"/>
      <c r="AB333" s="1"/>
      <c r="AC333" s="1"/>
      <c r="AD333" s="1"/>
      <c r="AE333" s="1"/>
      <c r="AF333" s="1"/>
      <c r="AG333" s="1"/>
      <c r="AH333" s="1"/>
      <c r="AI333" s="1"/>
      <c r="AJ333" s="1"/>
      <c r="AK333" s="1"/>
    </row>
    <row r="334" ht="30.0" customHeight="1">
      <c r="A334" s="1"/>
      <c r="B334" s="1"/>
      <c r="C334" s="2"/>
      <c r="D334" s="2"/>
      <c r="E334" s="2"/>
      <c r="F334" s="2"/>
      <c r="G334" s="2"/>
      <c r="H334" s="2"/>
      <c r="I334" s="2"/>
      <c r="J334" s="2"/>
      <c r="K334" s="2"/>
      <c r="L334" s="2"/>
      <c r="M334" s="2"/>
      <c r="N334" s="1"/>
      <c r="O334" s="2"/>
      <c r="P334" s="2"/>
      <c r="Q334" s="2"/>
      <c r="R334" s="2"/>
      <c r="S334" s="2"/>
      <c r="T334" s="2"/>
      <c r="U334" s="2"/>
      <c r="V334" s="2"/>
      <c r="W334" s="2"/>
      <c r="X334" s="2"/>
      <c r="Y334" s="2"/>
      <c r="Z334" s="1"/>
      <c r="AA334" s="1"/>
      <c r="AB334" s="1"/>
      <c r="AC334" s="1"/>
      <c r="AD334" s="1"/>
      <c r="AE334" s="1"/>
      <c r="AF334" s="1"/>
      <c r="AG334" s="1"/>
      <c r="AH334" s="1"/>
      <c r="AI334" s="1"/>
      <c r="AJ334" s="1"/>
      <c r="AK334" s="1"/>
    </row>
    <row r="335" ht="30.0" customHeight="1">
      <c r="A335" s="1"/>
      <c r="B335" s="1"/>
      <c r="C335" s="2"/>
      <c r="D335" s="2"/>
      <c r="E335" s="2"/>
      <c r="F335" s="2"/>
      <c r="G335" s="2"/>
      <c r="H335" s="2"/>
      <c r="I335" s="2"/>
      <c r="J335" s="2"/>
      <c r="K335" s="2"/>
      <c r="L335" s="2"/>
      <c r="M335" s="2"/>
      <c r="N335" s="1"/>
      <c r="O335" s="2"/>
      <c r="P335" s="2"/>
      <c r="Q335" s="2"/>
      <c r="R335" s="2"/>
      <c r="S335" s="2"/>
      <c r="T335" s="2"/>
      <c r="U335" s="2"/>
      <c r="V335" s="2"/>
      <c r="W335" s="2"/>
      <c r="X335" s="2"/>
      <c r="Y335" s="2"/>
      <c r="Z335" s="1"/>
      <c r="AA335" s="1"/>
      <c r="AB335" s="1"/>
      <c r="AC335" s="1"/>
      <c r="AD335" s="1"/>
      <c r="AE335" s="1"/>
      <c r="AF335" s="1"/>
      <c r="AG335" s="1"/>
      <c r="AH335" s="1"/>
      <c r="AI335" s="1"/>
      <c r="AJ335" s="1"/>
      <c r="AK335" s="1"/>
    </row>
    <row r="336" ht="30.0" customHeight="1">
      <c r="A336" s="1"/>
      <c r="B336" s="1"/>
      <c r="C336" s="2"/>
      <c r="D336" s="2"/>
      <c r="E336" s="2"/>
      <c r="F336" s="2"/>
      <c r="G336" s="2"/>
      <c r="H336" s="2"/>
      <c r="I336" s="2"/>
      <c r="J336" s="2"/>
      <c r="K336" s="2"/>
      <c r="L336" s="2"/>
      <c r="M336" s="2"/>
      <c r="N336" s="1"/>
      <c r="O336" s="2"/>
      <c r="P336" s="2"/>
      <c r="Q336" s="2"/>
      <c r="R336" s="2"/>
      <c r="S336" s="2"/>
      <c r="T336" s="2"/>
      <c r="U336" s="2"/>
      <c r="V336" s="2"/>
      <c r="W336" s="2"/>
      <c r="X336" s="2"/>
      <c r="Y336" s="2"/>
      <c r="Z336" s="1"/>
      <c r="AA336" s="1"/>
      <c r="AB336" s="1"/>
      <c r="AC336" s="1"/>
      <c r="AD336" s="1"/>
      <c r="AE336" s="1"/>
      <c r="AF336" s="1"/>
      <c r="AG336" s="1"/>
      <c r="AH336" s="1"/>
      <c r="AI336" s="1"/>
      <c r="AJ336" s="1"/>
      <c r="AK336" s="1"/>
    </row>
    <row r="337" ht="30.0" customHeight="1">
      <c r="A337" s="1"/>
      <c r="B337" s="1"/>
      <c r="C337" s="2"/>
      <c r="D337" s="2"/>
      <c r="E337" s="2"/>
      <c r="F337" s="2"/>
      <c r="G337" s="2"/>
      <c r="H337" s="2"/>
      <c r="I337" s="2"/>
      <c r="J337" s="2"/>
      <c r="K337" s="2"/>
      <c r="L337" s="2"/>
      <c r="M337" s="2"/>
      <c r="N337" s="1"/>
      <c r="O337" s="2"/>
      <c r="P337" s="2"/>
      <c r="Q337" s="2"/>
      <c r="R337" s="2"/>
      <c r="S337" s="2"/>
      <c r="T337" s="2"/>
      <c r="U337" s="2"/>
      <c r="V337" s="2"/>
      <c r="W337" s="2"/>
      <c r="X337" s="2"/>
      <c r="Y337" s="2"/>
      <c r="Z337" s="1"/>
      <c r="AA337" s="1"/>
      <c r="AB337" s="1"/>
      <c r="AC337" s="1"/>
      <c r="AD337" s="1"/>
      <c r="AE337" s="1"/>
      <c r="AF337" s="1"/>
      <c r="AG337" s="1"/>
      <c r="AH337" s="1"/>
      <c r="AI337" s="1"/>
      <c r="AJ337" s="1"/>
      <c r="AK337" s="1"/>
    </row>
    <row r="338" ht="30.0" customHeight="1">
      <c r="A338" s="1"/>
      <c r="B338" s="1"/>
      <c r="C338" s="2"/>
      <c r="D338" s="2"/>
      <c r="E338" s="2"/>
      <c r="F338" s="2"/>
      <c r="G338" s="2"/>
      <c r="H338" s="2"/>
      <c r="I338" s="2"/>
      <c r="J338" s="2"/>
      <c r="K338" s="2"/>
      <c r="L338" s="2"/>
      <c r="M338" s="2"/>
      <c r="N338" s="1"/>
      <c r="O338" s="2"/>
      <c r="P338" s="2"/>
      <c r="Q338" s="2"/>
      <c r="R338" s="2"/>
      <c r="S338" s="2"/>
      <c r="T338" s="2"/>
      <c r="U338" s="2"/>
      <c r="V338" s="2"/>
      <c r="W338" s="2"/>
      <c r="X338" s="2"/>
      <c r="Y338" s="2"/>
      <c r="Z338" s="1"/>
      <c r="AA338" s="1"/>
      <c r="AB338" s="1"/>
      <c r="AC338" s="1"/>
      <c r="AD338" s="1"/>
      <c r="AE338" s="1"/>
      <c r="AF338" s="1"/>
      <c r="AG338" s="1"/>
      <c r="AH338" s="1"/>
      <c r="AI338" s="1"/>
      <c r="AJ338" s="1"/>
      <c r="AK338" s="1"/>
    </row>
    <row r="339" ht="30.0" customHeight="1">
      <c r="A339" s="1"/>
      <c r="B339" s="1"/>
      <c r="C339" s="2"/>
      <c r="D339" s="2"/>
      <c r="E339" s="2"/>
      <c r="F339" s="2"/>
      <c r="G339" s="2"/>
      <c r="H339" s="2"/>
      <c r="I339" s="2"/>
      <c r="J339" s="2"/>
      <c r="K339" s="2"/>
      <c r="L339" s="2"/>
      <c r="M339" s="2"/>
      <c r="N339" s="1"/>
      <c r="O339" s="2"/>
      <c r="P339" s="2"/>
      <c r="Q339" s="2"/>
      <c r="R339" s="2"/>
      <c r="S339" s="2"/>
      <c r="T339" s="2"/>
      <c r="U339" s="2"/>
      <c r="V339" s="2"/>
      <c r="W339" s="2"/>
      <c r="X339" s="2"/>
      <c r="Y339" s="2"/>
      <c r="Z339" s="1"/>
      <c r="AA339" s="1"/>
      <c r="AB339" s="1"/>
      <c r="AC339" s="1"/>
      <c r="AD339" s="1"/>
      <c r="AE339" s="1"/>
      <c r="AF339" s="1"/>
      <c r="AG339" s="1"/>
      <c r="AH339" s="1"/>
      <c r="AI339" s="1"/>
      <c r="AJ339" s="1"/>
      <c r="AK339" s="1"/>
    </row>
    <row r="340" ht="30.0" customHeight="1">
      <c r="A340" s="1"/>
      <c r="B340" s="1"/>
      <c r="C340" s="2"/>
      <c r="D340" s="2"/>
      <c r="E340" s="2"/>
      <c r="F340" s="2"/>
      <c r="G340" s="2"/>
      <c r="H340" s="2"/>
      <c r="I340" s="2"/>
      <c r="J340" s="2"/>
      <c r="K340" s="2"/>
      <c r="L340" s="2"/>
      <c r="M340" s="2"/>
      <c r="N340" s="1"/>
      <c r="O340" s="2"/>
      <c r="P340" s="2"/>
      <c r="Q340" s="2"/>
      <c r="R340" s="2"/>
      <c r="S340" s="2"/>
      <c r="T340" s="2"/>
      <c r="U340" s="2"/>
      <c r="V340" s="2"/>
      <c r="W340" s="2"/>
      <c r="X340" s="2"/>
      <c r="Y340" s="2"/>
      <c r="Z340" s="1"/>
      <c r="AA340" s="1"/>
      <c r="AB340" s="1"/>
      <c r="AC340" s="1"/>
      <c r="AD340" s="1"/>
      <c r="AE340" s="1"/>
      <c r="AF340" s="1"/>
      <c r="AG340" s="1"/>
      <c r="AH340" s="1"/>
      <c r="AI340" s="1"/>
      <c r="AJ340" s="1"/>
      <c r="AK340" s="1"/>
    </row>
    <row r="341" ht="30.0" customHeight="1">
      <c r="A341" s="1"/>
      <c r="B341" s="1"/>
      <c r="C341" s="2"/>
      <c r="D341" s="2"/>
      <c r="E341" s="2"/>
      <c r="F341" s="2"/>
      <c r="G341" s="2"/>
      <c r="H341" s="2"/>
      <c r="I341" s="2"/>
      <c r="J341" s="2"/>
      <c r="K341" s="2"/>
      <c r="L341" s="2"/>
      <c r="M341" s="2"/>
      <c r="N341" s="1"/>
      <c r="O341" s="2"/>
      <c r="P341" s="2"/>
      <c r="Q341" s="2"/>
      <c r="R341" s="2"/>
      <c r="S341" s="2"/>
      <c r="T341" s="2"/>
      <c r="U341" s="2"/>
      <c r="V341" s="2"/>
      <c r="W341" s="2"/>
      <c r="X341" s="2"/>
      <c r="Y341" s="2"/>
      <c r="Z341" s="1"/>
      <c r="AA341" s="1"/>
      <c r="AB341" s="1"/>
      <c r="AC341" s="1"/>
      <c r="AD341" s="1"/>
      <c r="AE341" s="1"/>
      <c r="AF341" s="1"/>
      <c r="AG341" s="1"/>
      <c r="AH341" s="1"/>
      <c r="AI341" s="1"/>
      <c r="AJ341" s="1"/>
      <c r="AK341" s="1"/>
    </row>
    <row r="342" ht="30.0" customHeight="1">
      <c r="A342" s="1"/>
      <c r="B342" s="1"/>
      <c r="C342" s="2"/>
      <c r="D342" s="2"/>
      <c r="E342" s="2"/>
      <c r="F342" s="2"/>
      <c r="G342" s="2"/>
      <c r="H342" s="2"/>
      <c r="I342" s="2"/>
      <c r="J342" s="2"/>
      <c r="K342" s="2"/>
      <c r="L342" s="2"/>
      <c r="M342" s="2"/>
      <c r="N342" s="1"/>
      <c r="O342" s="2"/>
      <c r="P342" s="2"/>
      <c r="Q342" s="2"/>
      <c r="R342" s="2"/>
      <c r="S342" s="2"/>
      <c r="T342" s="2"/>
      <c r="U342" s="2"/>
      <c r="V342" s="2"/>
      <c r="W342" s="2"/>
      <c r="X342" s="2"/>
      <c r="Y342" s="2"/>
      <c r="Z342" s="1"/>
      <c r="AA342" s="1"/>
      <c r="AB342" s="1"/>
      <c r="AC342" s="1"/>
      <c r="AD342" s="1"/>
      <c r="AE342" s="1"/>
      <c r="AF342" s="1"/>
      <c r="AG342" s="1"/>
      <c r="AH342" s="1"/>
      <c r="AI342" s="1"/>
      <c r="AJ342" s="1"/>
      <c r="AK342" s="1"/>
    </row>
    <row r="343" ht="30.0" customHeight="1">
      <c r="A343" s="1"/>
      <c r="B343" s="1"/>
      <c r="C343" s="2"/>
      <c r="D343" s="2"/>
      <c r="E343" s="2"/>
      <c r="F343" s="2"/>
      <c r="G343" s="2"/>
      <c r="H343" s="2"/>
      <c r="I343" s="2"/>
      <c r="J343" s="2"/>
      <c r="K343" s="2"/>
      <c r="L343" s="2"/>
      <c r="M343" s="2"/>
      <c r="N343" s="1"/>
      <c r="O343" s="2"/>
      <c r="P343" s="2"/>
      <c r="Q343" s="2"/>
      <c r="R343" s="2"/>
      <c r="S343" s="2"/>
      <c r="T343" s="2"/>
      <c r="U343" s="2"/>
      <c r="V343" s="2"/>
      <c r="W343" s="2"/>
      <c r="X343" s="2"/>
      <c r="Y343" s="2"/>
      <c r="Z343" s="1"/>
      <c r="AA343" s="1"/>
      <c r="AB343" s="1"/>
      <c r="AC343" s="1"/>
      <c r="AD343" s="1"/>
      <c r="AE343" s="1"/>
      <c r="AF343" s="1"/>
      <c r="AG343" s="1"/>
      <c r="AH343" s="1"/>
      <c r="AI343" s="1"/>
      <c r="AJ343" s="1"/>
      <c r="AK343" s="1"/>
    </row>
    <row r="344" ht="30.0" customHeight="1">
      <c r="A344" s="1"/>
      <c r="B344" s="1"/>
      <c r="C344" s="2"/>
      <c r="D344" s="2"/>
      <c r="E344" s="2"/>
      <c r="F344" s="2"/>
      <c r="G344" s="2"/>
      <c r="H344" s="2"/>
      <c r="I344" s="2"/>
      <c r="J344" s="2"/>
      <c r="K344" s="2"/>
      <c r="L344" s="2"/>
      <c r="M344" s="2"/>
      <c r="N344" s="1"/>
      <c r="O344" s="2"/>
      <c r="P344" s="2"/>
      <c r="Q344" s="2"/>
      <c r="R344" s="2"/>
      <c r="S344" s="2"/>
      <c r="T344" s="2"/>
      <c r="U344" s="2"/>
      <c r="V344" s="2"/>
      <c r="W344" s="2"/>
      <c r="X344" s="2"/>
      <c r="Y344" s="2"/>
      <c r="Z344" s="1"/>
      <c r="AA344" s="1"/>
      <c r="AB344" s="1"/>
      <c r="AC344" s="1"/>
      <c r="AD344" s="1"/>
      <c r="AE344" s="1"/>
      <c r="AF344" s="1"/>
      <c r="AG344" s="1"/>
      <c r="AH344" s="1"/>
      <c r="AI344" s="1"/>
      <c r="AJ344" s="1"/>
      <c r="AK344" s="1"/>
    </row>
    <row r="345" ht="30.0" customHeight="1">
      <c r="A345" s="1"/>
      <c r="B345" s="1"/>
      <c r="C345" s="2"/>
      <c r="D345" s="2"/>
      <c r="E345" s="2"/>
      <c r="F345" s="2"/>
      <c r="G345" s="2"/>
      <c r="H345" s="2"/>
      <c r="I345" s="2"/>
      <c r="J345" s="2"/>
      <c r="K345" s="2"/>
      <c r="L345" s="2"/>
      <c r="M345" s="2"/>
      <c r="N345" s="1"/>
      <c r="O345" s="2"/>
      <c r="P345" s="2"/>
      <c r="Q345" s="2"/>
      <c r="R345" s="2"/>
      <c r="S345" s="2"/>
      <c r="T345" s="2"/>
      <c r="U345" s="2"/>
      <c r="V345" s="2"/>
      <c r="W345" s="2"/>
      <c r="X345" s="2"/>
      <c r="Y345" s="2"/>
      <c r="Z345" s="1"/>
      <c r="AA345" s="1"/>
      <c r="AB345" s="1"/>
      <c r="AC345" s="1"/>
      <c r="AD345" s="1"/>
      <c r="AE345" s="1"/>
      <c r="AF345" s="1"/>
      <c r="AG345" s="1"/>
      <c r="AH345" s="1"/>
      <c r="AI345" s="1"/>
      <c r="AJ345" s="1"/>
      <c r="AK345" s="1"/>
    </row>
    <row r="346" ht="30.0" customHeight="1">
      <c r="A346" s="1"/>
      <c r="B346" s="1"/>
      <c r="C346" s="2"/>
      <c r="D346" s="2"/>
      <c r="E346" s="2"/>
      <c r="F346" s="2"/>
      <c r="G346" s="2"/>
      <c r="H346" s="2"/>
      <c r="I346" s="2"/>
      <c r="J346" s="2"/>
      <c r="K346" s="2"/>
      <c r="L346" s="2"/>
      <c r="M346" s="2"/>
      <c r="N346" s="1"/>
      <c r="O346" s="2"/>
      <c r="P346" s="2"/>
      <c r="Q346" s="2"/>
      <c r="R346" s="2"/>
      <c r="S346" s="2"/>
      <c r="T346" s="2"/>
      <c r="U346" s="2"/>
      <c r="V346" s="2"/>
      <c r="W346" s="2"/>
      <c r="X346" s="2"/>
      <c r="Y346" s="2"/>
      <c r="Z346" s="1"/>
      <c r="AA346" s="1"/>
      <c r="AB346" s="1"/>
      <c r="AC346" s="1"/>
      <c r="AD346" s="1"/>
      <c r="AE346" s="1"/>
      <c r="AF346" s="1"/>
      <c r="AG346" s="1"/>
      <c r="AH346" s="1"/>
      <c r="AI346" s="1"/>
      <c r="AJ346" s="1"/>
      <c r="AK346" s="1"/>
    </row>
    <row r="347" ht="30.0" customHeight="1">
      <c r="A347" s="1"/>
      <c r="B347" s="1"/>
      <c r="C347" s="2"/>
      <c r="D347" s="2"/>
      <c r="E347" s="2"/>
      <c r="F347" s="2"/>
      <c r="G347" s="2"/>
      <c r="H347" s="2"/>
      <c r="I347" s="2"/>
      <c r="J347" s="2"/>
      <c r="K347" s="2"/>
      <c r="L347" s="2"/>
      <c r="M347" s="2"/>
      <c r="N347" s="1"/>
      <c r="O347" s="2"/>
      <c r="P347" s="2"/>
      <c r="Q347" s="2"/>
      <c r="R347" s="2"/>
      <c r="S347" s="2"/>
      <c r="T347" s="2"/>
      <c r="U347" s="2"/>
      <c r="V347" s="2"/>
      <c r="W347" s="2"/>
      <c r="X347" s="2"/>
      <c r="Y347" s="2"/>
      <c r="Z347" s="1"/>
      <c r="AA347" s="1"/>
      <c r="AB347" s="1"/>
      <c r="AC347" s="1"/>
      <c r="AD347" s="1"/>
      <c r="AE347" s="1"/>
      <c r="AF347" s="1"/>
      <c r="AG347" s="1"/>
      <c r="AH347" s="1"/>
      <c r="AI347" s="1"/>
      <c r="AJ347" s="1"/>
      <c r="AK347" s="1"/>
    </row>
    <row r="348" ht="30.0" customHeight="1">
      <c r="A348" s="1"/>
      <c r="B348" s="1"/>
      <c r="C348" s="2"/>
      <c r="D348" s="2"/>
      <c r="E348" s="2"/>
      <c r="F348" s="2"/>
      <c r="G348" s="2"/>
      <c r="H348" s="2"/>
      <c r="I348" s="2"/>
      <c r="J348" s="2"/>
      <c r="K348" s="2"/>
      <c r="L348" s="2"/>
      <c r="M348" s="2"/>
      <c r="N348" s="1"/>
      <c r="O348" s="2"/>
      <c r="P348" s="2"/>
      <c r="Q348" s="2"/>
      <c r="R348" s="2"/>
      <c r="S348" s="2"/>
      <c r="T348" s="2"/>
      <c r="U348" s="2"/>
      <c r="V348" s="2"/>
      <c r="W348" s="2"/>
      <c r="X348" s="2"/>
      <c r="Y348" s="2"/>
      <c r="Z348" s="1"/>
      <c r="AA348" s="1"/>
      <c r="AB348" s="1"/>
      <c r="AC348" s="1"/>
      <c r="AD348" s="1"/>
      <c r="AE348" s="1"/>
      <c r="AF348" s="1"/>
      <c r="AG348" s="1"/>
      <c r="AH348" s="1"/>
      <c r="AI348" s="1"/>
      <c r="AJ348" s="1"/>
      <c r="AK348" s="1"/>
    </row>
    <row r="349" ht="30.0" customHeight="1">
      <c r="A349" s="1"/>
      <c r="B349" s="1"/>
      <c r="C349" s="2"/>
      <c r="D349" s="2"/>
      <c r="E349" s="2"/>
      <c r="F349" s="2"/>
      <c r="G349" s="2"/>
      <c r="H349" s="2"/>
      <c r="I349" s="2"/>
      <c r="J349" s="2"/>
      <c r="K349" s="2"/>
      <c r="L349" s="2"/>
      <c r="M349" s="2"/>
      <c r="N349" s="1"/>
      <c r="O349" s="2"/>
      <c r="P349" s="2"/>
      <c r="Q349" s="2"/>
      <c r="R349" s="2"/>
      <c r="S349" s="2"/>
      <c r="T349" s="2"/>
      <c r="U349" s="2"/>
      <c r="V349" s="2"/>
      <c r="W349" s="2"/>
      <c r="X349" s="2"/>
      <c r="Y349" s="2"/>
      <c r="Z349" s="1"/>
      <c r="AA349" s="1"/>
      <c r="AB349" s="1"/>
      <c r="AC349" s="1"/>
      <c r="AD349" s="1"/>
      <c r="AE349" s="1"/>
      <c r="AF349" s="1"/>
      <c r="AG349" s="1"/>
      <c r="AH349" s="1"/>
      <c r="AI349" s="1"/>
      <c r="AJ349" s="1"/>
      <c r="AK349" s="1"/>
    </row>
    <row r="350" ht="30.0" customHeight="1">
      <c r="A350" s="1"/>
      <c r="B350" s="1"/>
      <c r="C350" s="2"/>
      <c r="D350" s="2"/>
      <c r="E350" s="2"/>
      <c r="F350" s="2"/>
      <c r="G350" s="2"/>
      <c r="H350" s="2"/>
      <c r="I350" s="2"/>
      <c r="J350" s="2"/>
      <c r="K350" s="2"/>
      <c r="L350" s="2"/>
      <c r="M350" s="2"/>
      <c r="N350" s="1"/>
      <c r="O350" s="2"/>
      <c r="P350" s="2"/>
      <c r="Q350" s="2"/>
      <c r="R350" s="2"/>
      <c r="S350" s="2"/>
      <c r="T350" s="2"/>
      <c r="U350" s="2"/>
      <c r="V350" s="2"/>
      <c r="W350" s="2"/>
      <c r="X350" s="2"/>
      <c r="Y350" s="2"/>
      <c r="Z350" s="1"/>
      <c r="AA350" s="1"/>
      <c r="AB350" s="1"/>
      <c r="AC350" s="1"/>
      <c r="AD350" s="1"/>
      <c r="AE350" s="1"/>
      <c r="AF350" s="1"/>
      <c r="AG350" s="1"/>
      <c r="AH350" s="1"/>
      <c r="AI350" s="1"/>
      <c r="AJ350" s="1"/>
      <c r="AK350" s="1"/>
    </row>
    <row r="351" ht="30.0" customHeight="1">
      <c r="A351" s="1"/>
      <c r="B351" s="1"/>
      <c r="C351" s="2"/>
      <c r="D351" s="2"/>
      <c r="E351" s="2"/>
      <c r="F351" s="2"/>
      <c r="G351" s="2"/>
      <c r="H351" s="2"/>
      <c r="I351" s="2"/>
      <c r="J351" s="2"/>
      <c r="K351" s="2"/>
      <c r="L351" s="2"/>
      <c r="M351" s="2"/>
      <c r="N351" s="1"/>
      <c r="O351" s="2"/>
      <c r="P351" s="2"/>
      <c r="Q351" s="2"/>
      <c r="R351" s="2"/>
      <c r="S351" s="2"/>
      <c r="T351" s="2"/>
      <c r="U351" s="2"/>
      <c r="V351" s="2"/>
      <c r="W351" s="2"/>
      <c r="X351" s="2"/>
      <c r="Y351" s="2"/>
      <c r="Z351" s="1"/>
      <c r="AA351" s="1"/>
      <c r="AB351" s="1"/>
      <c r="AC351" s="1"/>
      <c r="AD351" s="1"/>
      <c r="AE351" s="1"/>
      <c r="AF351" s="1"/>
      <c r="AG351" s="1"/>
      <c r="AH351" s="1"/>
      <c r="AI351" s="1"/>
      <c r="AJ351" s="1"/>
      <c r="AK351" s="1"/>
    </row>
    <row r="352" ht="30.0" customHeight="1">
      <c r="A352" s="1"/>
      <c r="B352" s="1"/>
      <c r="C352" s="2"/>
      <c r="D352" s="2"/>
      <c r="E352" s="2"/>
      <c r="F352" s="2"/>
      <c r="G352" s="2"/>
      <c r="H352" s="2"/>
      <c r="I352" s="2"/>
      <c r="J352" s="2"/>
      <c r="K352" s="2"/>
      <c r="L352" s="2"/>
      <c r="M352" s="2"/>
      <c r="N352" s="1"/>
      <c r="O352" s="2"/>
      <c r="P352" s="2"/>
      <c r="Q352" s="2"/>
      <c r="R352" s="2"/>
      <c r="S352" s="2"/>
      <c r="T352" s="2"/>
      <c r="U352" s="2"/>
      <c r="V352" s="2"/>
      <c r="W352" s="2"/>
      <c r="X352" s="2"/>
      <c r="Y352" s="2"/>
      <c r="Z352" s="1"/>
      <c r="AA352" s="1"/>
      <c r="AB352" s="1"/>
      <c r="AC352" s="1"/>
      <c r="AD352" s="1"/>
      <c r="AE352" s="1"/>
      <c r="AF352" s="1"/>
      <c r="AG352" s="1"/>
      <c r="AH352" s="1"/>
      <c r="AI352" s="1"/>
      <c r="AJ352" s="1"/>
      <c r="AK352" s="1"/>
    </row>
    <row r="353" ht="30.0" customHeight="1">
      <c r="A353" s="1"/>
      <c r="B353" s="1"/>
      <c r="C353" s="2"/>
      <c r="D353" s="2"/>
      <c r="E353" s="2"/>
      <c r="F353" s="2"/>
      <c r="G353" s="2"/>
      <c r="H353" s="2"/>
      <c r="I353" s="2"/>
      <c r="J353" s="2"/>
      <c r="K353" s="2"/>
      <c r="L353" s="2"/>
      <c r="M353" s="2"/>
      <c r="N353" s="1"/>
      <c r="O353" s="2"/>
      <c r="P353" s="2"/>
      <c r="Q353" s="2"/>
      <c r="R353" s="2"/>
      <c r="S353" s="2"/>
      <c r="T353" s="2"/>
      <c r="U353" s="2"/>
      <c r="V353" s="2"/>
      <c r="W353" s="2"/>
      <c r="X353" s="2"/>
      <c r="Y353" s="2"/>
      <c r="Z353" s="1"/>
      <c r="AA353" s="1"/>
      <c r="AB353" s="1"/>
      <c r="AC353" s="1"/>
      <c r="AD353" s="1"/>
      <c r="AE353" s="1"/>
      <c r="AF353" s="1"/>
      <c r="AG353" s="1"/>
      <c r="AH353" s="1"/>
      <c r="AI353" s="1"/>
      <c r="AJ353" s="1"/>
      <c r="AK353" s="1"/>
    </row>
    <row r="354" ht="30.0" customHeight="1">
      <c r="A354" s="1"/>
      <c r="B354" s="1"/>
      <c r="C354" s="2"/>
      <c r="D354" s="2"/>
      <c r="E354" s="2"/>
      <c r="F354" s="2"/>
      <c r="G354" s="2"/>
      <c r="H354" s="2"/>
      <c r="I354" s="2"/>
      <c r="J354" s="2"/>
      <c r="K354" s="2"/>
      <c r="L354" s="2"/>
      <c r="M354" s="2"/>
      <c r="N354" s="1"/>
      <c r="O354" s="2"/>
      <c r="P354" s="2"/>
      <c r="Q354" s="2"/>
      <c r="R354" s="2"/>
      <c r="S354" s="2"/>
      <c r="T354" s="2"/>
      <c r="U354" s="2"/>
      <c r="V354" s="2"/>
      <c r="W354" s="2"/>
      <c r="X354" s="2"/>
      <c r="Y354" s="2"/>
      <c r="Z354" s="1"/>
      <c r="AA354" s="1"/>
      <c r="AB354" s="1"/>
      <c r="AC354" s="1"/>
      <c r="AD354" s="1"/>
      <c r="AE354" s="1"/>
      <c r="AF354" s="1"/>
      <c r="AG354" s="1"/>
      <c r="AH354" s="1"/>
      <c r="AI354" s="1"/>
      <c r="AJ354" s="1"/>
      <c r="AK354" s="1"/>
    </row>
    <row r="355" ht="30.0" customHeight="1">
      <c r="A355" s="1"/>
      <c r="B355" s="1"/>
      <c r="C355" s="2"/>
      <c r="D355" s="2"/>
      <c r="E355" s="2"/>
      <c r="F355" s="2"/>
      <c r="G355" s="2"/>
      <c r="H355" s="2"/>
      <c r="I355" s="2"/>
      <c r="J355" s="2"/>
      <c r="K355" s="2"/>
      <c r="L355" s="2"/>
      <c r="M355" s="2"/>
      <c r="N355" s="1"/>
      <c r="O355" s="2"/>
      <c r="P355" s="2"/>
      <c r="Q355" s="2"/>
      <c r="R355" s="2"/>
      <c r="S355" s="2"/>
      <c r="T355" s="2"/>
      <c r="U355" s="2"/>
      <c r="V355" s="2"/>
      <c r="W355" s="2"/>
      <c r="X355" s="2"/>
      <c r="Y355" s="2"/>
      <c r="Z355" s="1"/>
      <c r="AA355" s="1"/>
      <c r="AB355" s="1"/>
      <c r="AC355" s="1"/>
      <c r="AD355" s="1"/>
      <c r="AE355" s="1"/>
      <c r="AF355" s="1"/>
      <c r="AG355" s="1"/>
      <c r="AH355" s="1"/>
      <c r="AI355" s="1"/>
      <c r="AJ355" s="1"/>
      <c r="AK355" s="1"/>
    </row>
    <row r="356" ht="30.0" customHeight="1">
      <c r="A356" s="1"/>
      <c r="B356" s="1"/>
      <c r="C356" s="2"/>
      <c r="D356" s="2"/>
      <c r="E356" s="2"/>
      <c r="F356" s="2"/>
      <c r="G356" s="2"/>
      <c r="H356" s="2"/>
      <c r="I356" s="2"/>
      <c r="J356" s="2"/>
      <c r="K356" s="2"/>
      <c r="L356" s="2"/>
      <c r="M356" s="2"/>
      <c r="N356" s="1"/>
      <c r="O356" s="2"/>
      <c r="P356" s="2"/>
      <c r="Q356" s="2"/>
      <c r="R356" s="2"/>
      <c r="S356" s="2"/>
      <c r="T356" s="2"/>
      <c r="U356" s="2"/>
      <c r="V356" s="2"/>
      <c r="W356" s="2"/>
      <c r="X356" s="2"/>
      <c r="Y356" s="2"/>
      <c r="Z356" s="1"/>
      <c r="AA356" s="1"/>
      <c r="AB356" s="1"/>
      <c r="AC356" s="1"/>
      <c r="AD356" s="1"/>
      <c r="AE356" s="1"/>
      <c r="AF356" s="1"/>
      <c r="AG356" s="1"/>
      <c r="AH356" s="1"/>
      <c r="AI356" s="1"/>
      <c r="AJ356" s="1"/>
      <c r="AK356" s="1"/>
    </row>
    <row r="357" ht="30.0" customHeight="1">
      <c r="A357" s="1"/>
      <c r="B357" s="1"/>
      <c r="C357" s="2"/>
      <c r="D357" s="2"/>
      <c r="E357" s="2"/>
      <c r="F357" s="2"/>
      <c r="G357" s="2"/>
      <c r="H357" s="2"/>
      <c r="I357" s="2"/>
      <c r="J357" s="2"/>
      <c r="K357" s="2"/>
      <c r="L357" s="2"/>
      <c r="M357" s="2"/>
      <c r="N357" s="1"/>
      <c r="O357" s="2"/>
      <c r="P357" s="2"/>
      <c r="Q357" s="2"/>
      <c r="R357" s="2"/>
      <c r="S357" s="2"/>
      <c r="T357" s="2"/>
      <c r="U357" s="2"/>
      <c r="V357" s="2"/>
      <c r="W357" s="2"/>
      <c r="X357" s="2"/>
      <c r="Y357" s="2"/>
      <c r="Z357" s="1"/>
      <c r="AA357" s="1"/>
      <c r="AB357" s="1"/>
      <c r="AC357" s="1"/>
      <c r="AD357" s="1"/>
      <c r="AE357" s="1"/>
      <c r="AF357" s="1"/>
      <c r="AG357" s="1"/>
      <c r="AH357" s="1"/>
      <c r="AI357" s="1"/>
      <c r="AJ357" s="1"/>
      <c r="AK357" s="1"/>
    </row>
    <row r="358" ht="30.0" customHeight="1">
      <c r="A358" s="1"/>
      <c r="B358" s="1"/>
      <c r="C358" s="2"/>
      <c r="D358" s="2"/>
      <c r="E358" s="2"/>
      <c r="F358" s="2"/>
      <c r="G358" s="2"/>
      <c r="H358" s="2"/>
      <c r="I358" s="2"/>
      <c r="J358" s="2"/>
      <c r="K358" s="2"/>
      <c r="L358" s="2"/>
      <c r="M358" s="2"/>
      <c r="N358" s="1"/>
      <c r="O358" s="2"/>
      <c r="P358" s="2"/>
      <c r="Q358" s="2"/>
      <c r="R358" s="2"/>
      <c r="S358" s="2"/>
      <c r="T358" s="2"/>
      <c r="U358" s="2"/>
      <c r="V358" s="2"/>
      <c r="W358" s="2"/>
      <c r="X358" s="2"/>
      <c r="Y358" s="2"/>
      <c r="Z358" s="1"/>
      <c r="AA358" s="1"/>
      <c r="AB358" s="1"/>
      <c r="AC358" s="1"/>
      <c r="AD358" s="1"/>
      <c r="AE358" s="1"/>
      <c r="AF358" s="1"/>
      <c r="AG358" s="1"/>
      <c r="AH358" s="1"/>
      <c r="AI358" s="1"/>
      <c r="AJ358" s="1"/>
      <c r="AK358" s="1"/>
    </row>
    <row r="359" ht="30.0" customHeight="1">
      <c r="A359" s="1"/>
      <c r="B359" s="1"/>
      <c r="C359" s="2"/>
      <c r="D359" s="2"/>
      <c r="E359" s="2"/>
      <c r="F359" s="2"/>
      <c r="G359" s="2"/>
      <c r="H359" s="2"/>
      <c r="I359" s="2"/>
      <c r="J359" s="2"/>
      <c r="K359" s="2"/>
      <c r="L359" s="2"/>
      <c r="M359" s="2"/>
      <c r="N359" s="1"/>
      <c r="O359" s="2"/>
      <c r="P359" s="2"/>
      <c r="Q359" s="2"/>
      <c r="R359" s="2"/>
      <c r="S359" s="2"/>
      <c r="T359" s="2"/>
      <c r="U359" s="2"/>
      <c r="V359" s="2"/>
      <c r="W359" s="2"/>
      <c r="X359" s="2"/>
      <c r="Y359" s="2"/>
      <c r="Z359" s="1"/>
      <c r="AA359" s="1"/>
      <c r="AB359" s="1"/>
      <c r="AC359" s="1"/>
      <c r="AD359" s="1"/>
      <c r="AE359" s="1"/>
      <c r="AF359" s="1"/>
      <c r="AG359" s="1"/>
      <c r="AH359" s="1"/>
      <c r="AI359" s="1"/>
      <c r="AJ359" s="1"/>
      <c r="AK359" s="1"/>
    </row>
    <row r="360" ht="30.0" customHeight="1">
      <c r="A360" s="1"/>
      <c r="B360" s="1"/>
      <c r="C360" s="2"/>
      <c r="D360" s="2"/>
      <c r="E360" s="2"/>
      <c r="F360" s="2"/>
      <c r="G360" s="2"/>
      <c r="H360" s="2"/>
      <c r="I360" s="2"/>
      <c r="J360" s="2"/>
      <c r="K360" s="2"/>
      <c r="L360" s="2"/>
      <c r="M360" s="2"/>
      <c r="N360" s="1"/>
      <c r="O360" s="2"/>
      <c r="P360" s="2"/>
      <c r="Q360" s="2"/>
      <c r="R360" s="2"/>
      <c r="S360" s="2"/>
      <c r="T360" s="2"/>
      <c r="U360" s="2"/>
      <c r="V360" s="2"/>
      <c r="W360" s="2"/>
      <c r="X360" s="2"/>
      <c r="Y360" s="2"/>
      <c r="Z360" s="1"/>
      <c r="AA360" s="1"/>
      <c r="AB360" s="1"/>
      <c r="AC360" s="1"/>
      <c r="AD360" s="1"/>
      <c r="AE360" s="1"/>
      <c r="AF360" s="1"/>
      <c r="AG360" s="1"/>
      <c r="AH360" s="1"/>
      <c r="AI360" s="1"/>
      <c r="AJ360" s="1"/>
      <c r="AK360" s="1"/>
    </row>
    <row r="361" ht="30.0" customHeight="1">
      <c r="A361" s="1"/>
      <c r="B361" s="1"/>
      <c r="C361" s="2"/>
      <c r="D361" s="2"/>
      <c r="E361" s="2"/>
      <c r="F361" s="2"/>
      <c r="G361" s="2"/>
      <c r="H361" s="2"/>
      <c r="I361" s="2"/>
      <c r="J361" s="2"/>
      <c r="K361" s="2"/>
      <c r="L361" s="2"/>
      <c r="M361" s="2"/>
      <c r="N361" s="1"/>
      <c r="O361" s="2"/>
      <c r="P361" s="2"/>
      <c r="Q361" s="2"/>
      <c r="R361" s="2"/>
      <c r="S361" s="2"/>
      <c r="T361" s="2"/>
      <c r="U361" s="2"/>
      <c r="V361" s="2"/>
      <c r="W361" s="2"/>
      <c r="X361" s="2"/>
      <c r="Y361" s="2"/>
      <c r="Z361" s="1"/>
      <c r="AA361" s="1"/>
      <c r="AB361" s="1"/>
      <c r="AC361" s="1"/>
      <c r="AD361" s="1"/>
      <c r="AE361" s="1"/>
      <c r="AF361" s="1"/>
      <c r="AG361" s="1"/>
      <c r="AH361" s="1"/>
      <c r="AI361" s="1"/>
      <c r="AJ361" s="1"/>
      <c r="AK361" s="1"/>
    </row>
    <row r="362" ht="30.0" customHeight="1">
      <c r="A362" s="1"/>
      <c r="B362" s="1"/>
      <c r="C362" s="2"/>
      <c r="D362" s="2"/>
      <c r="E362" s="2"/>
      <c r="F362" s="2"/>
      <c r="G362" s="2"/>
      <c r="H362" s="2"/>
      <c r="I362" s="2"/>
      <c r="J362" s="2"/>
      <c r="K362" s="2"/>
      <c r="L362" s="2"/>
      <c r="M362" s="2"/>
      <c r="N362" s="1"/>
      <c r="O362" s="2"/>
      <c r="P362" s="2"/>
      <c r="Q362" s="2"/>
      <c r="R362" s="2"/>
      <c r="S362" s="2"/>
      <c r="T362" s="2"/>
      <c r="U362" s="2"/>
      <c r="V362" s="2"/>
      <c r="W362" s="2"/>
      <c r="X362" s="2"/>
      <c r="Y362" s="2"/>
      <c r="Z362" s="1"/>
      <c r="AA362" s="1"/>
      <c r="AB362" s="1"/>
      <c r="AC362" s="1"/>
      <c r="AD362" s="1"/>
      <c r="AE362" s="1"/>
      <c r="AF362" s="1"/>
      <c r="AG362" s="1"/>
      <c r="AH362" s="1"/>
      <c r="AI362" s="1"/>
      <c r="AJ362" s="1"/>
      <c r="AK362" s="1"/>
    </row>
    <row r="363" ht="30.0" customHeight="1">
      <c r="A363" s="1"/>
      <c r="B363" s="1"/>
      <c r="C363" s="2"/>
      <c r="D363" s="2"/>
      <c r="E363" s="2"/>
      <c r="F363" s="2"/>
      <c r="G363" s="2"/>
      <c r="H363" s="2"/>
      <c r="I363" s="2"/>
      <c r="J363" s="2"/>
      <c r="K363" s="2"/>
      <c r="L363" s="2"/>
      <c r="M363" s="2"/>
      <c r="N363" s="1"/>
      <c r="O363" s="2"/>
      <c r="P363" s="2"/>
      <c r="Q363" s="2"/>
      <c r="R363" s="2"/>
      <c r="S363" s="2"/>
      <c r="T363" s="2"/>
      <c r="U363" s="2"/>
      <c r="V363" s="2"/>
      <c r="W363" s="2"/>
      <c r="X363" s="2"/>
      <c r="Y363" s="2"/>
      <c r="Z363" s="1"/>
      <c r="AA363" s="1"/>
      <c r="AB363" s="1"/>
      <c r="AC363" s="1"/>
      <c r="AD363" s="1"/>
      <c r="AE363" s="1"/>
      <c r="AF363" s="1"/>
      <c r="AG363" s="1"/>
      <c r="AH363" s="1"/>
      <c r="AI363" s="1"/>
      <c r="AJ363" s="1"/>
      <c r="AK363" s="1"/>
    </row>
    <row r="364" ht="30.0" customHeight="1">
      <c r="A364" s="1"/>
      <c r="B364" s="1"/>
      <c r="C364" s="2"/>
      <c r="D364" s="2"/>
      <c r="E364" s="2"/>
      <c r="F364" s="2"/>
      <c r="G364" s="2"/>
      <c r="H364" s="2"/>
      <c r="I364" s="2"/>
      <c r="J364" s="2"/>
      <c r="K364" s="2"/>
      <c r="L364" s="2"/>
      <c r="M364" s="2"/>
      <c r="N364" s="1"/>
      <c r="O364" s="2"/>
      <c r="P364" s="2"/>
      <c r="Q364" s="2"/>
      <c r="R364" s="2"/>
      <c r="S364" s="2"/>
      <c r="T364" s="2"/>
      <c r="U364" s="2"/>
      <c r="V364" s="2"/>
      <c r="W364" s="2"/>
      <c r="X364" s="2"/>
      <c r="Y364" s="2"/>
      <c r="Z364" s="1"/>
      <c r="AA364" s="1"/>
      <c r="AB364" s="1"/>
      <c r="AC364" s="1"/>
      <c r="AD364" s="1"/>
      <c r="AE364" s="1"/>
      <c r="AF364" s="1"/>
      <c r="AG364" s="1"/>
      <c r="AH364" s="1"/>
      <c r="AI364" s="1"/>
      <c r="AJ364" s="1"/>
      <c r="AK364" s="1"/>
    </row>
    <row r="365" ht="30.0" customHeight="1">
      <c r="A365" s="1"/>
      <c r="B365" s="1"/>
      <c r="C365" s="2"/>
      <c r="D365" s="2"/>
      <c r="E365" s="2"/>
      <c r="F365" s="2"/>
      <c r="G365" s="2"/>
      <c r="H365" s="2"/>
      <c r="I365" s="2"/>
      <c r="J365" s="2"/>
      <c r="K365" s="2"/>
      <c r="L365" s="2"/>
      <c r="M365" s="2"/>
      <c r="N365" s="1"/>
      <c r="O365" s="2"/>
      <c r="P365" s="2"/>
      <c r="Q365" s="2"/>
      <c r="R365" s="2"/>
      <c r="S365" s="2"/>
      <c r="T365" s="2"/>
      <c r="U365" s="2"/>
      <c r="V365" s="2"/>
      <c r="W365" s="2"/>
      <c r="X365" s="2"/>
      <c r="Y365" s="2"/>
      <c r="Z365" s="1"/>
      <c r="AA365" s="1"/>
      <c r="AB365" s="1"/>
      <c r="AC365" s="1"/>
      <c r="AD365" s="1"/>
      <c r="AE365" s="1"/>
      <c r="AF365" s="1"/>
      <c r="AG365" s="1"/>
      <c r="AH365" s="1"/>
      <c r="AI365" s="1"/>
      <c r="AJ365" s="1"/>
      <c r="AK365" s="1"/>
    </row>
    <row r="366" ht="30.0" customHeight="1">
      <c r="A366" s="1"/>
      <c r="B366" s="1"/>
      <c r="C366" s="2"/>
      <c r="D366" s="2"/>
      <c r="E366" s="2"/>
      <c r="F366" s="2"/>
      <c r="G366" s="2"/>
      <c r="H366" s="2"/>
      <c r="I366" s="2"/>
      <c r="J366" s="2"/>
      <c r="K366" s="2"/>
      <c r="L366" s="2"/>
      <c r="M366" s="2"/>
      <c r="N366" s="1"/>
      <c r="O366" s="2"/>
      <c r="P366" s="2"/>
      <c r="Q366" s="2"/>
      <c r="R366" s="2"/>
      <c r="S366" s="2"/>
      <c r="T366" s="2"/>
      <c r="U366" s="2"/>
      <c r="V366" s="2"/>
      <c r="W366" s="2"/>
      <c r="X366" s="2"/>
      <c r="Y366" s="2"/>
      <c r="Z366" s="1"/>
      <c r="AA366" s="1"/>
      <c r="AB366" s="1"/>
      <c r="AC366" s="1"/>
      <c r="AD366" s="1"/>
      <c r="AE366" s="1"/>
      <c r="AF366" s="1"/>
      <c r="AG366" s="1"/>
      <c r="AH366" s="1"/>
      <c r="AI366" s="1"/>
      <c r="AJ366" s="1"/>
      <c r="AK366" s="1"/>
    </row>
    <row r="367" ht="30.0" customHeight="1">
      <c r="A367" s="1"/>
      <c r="B367" s="1"/>
      <c r="C367" s="2"/>
      <c r="D367" s="2"/>
      <c r="E367" s="2"/>
      <c r="F367" s="2"/>
      <c r="G367" s="2"/>
      <c r="H367" s="2"/>
      <c r="I367" s="2"/>
      <c r="J367" s="2"/>
      <c r="K367" s="2"/>
      <c r="L367" s="2"/>
      <c r="M367" s="2"/>
      <c r="N367" s="1"/>
      <c r="O367" s="2"/>
      <c r="P367" s="2"/>
      <c r="Q367" s="2"/>
      <c r="R367" s="2"/>
      <c r="S367" s="2"/>
      <c r="T367" s="2"/>
      <c r="U367" s="2"/>
      <c r="V367" s="2"/>
      <c r="W367" s="2"/>
      <c r="X367" s="2"/>
      <c r="Y367" s="2"/>
      <c r="Z367" s="1"/>
      <c r="AA367" s="1"/>
      <c r="AB367" s="1"/>
      <c r="AC367" s="1"/>
      <c r="AD367" s="1"/>
      <c r="AE367" s="1"/>
      <c r="AF367" s="1"/>
      <c r="AG367" s="1"/>
      <c r="AH367" s="1"/>
      <c r="AI367" s="1"/>
      <c r="AJ367" s="1"/>
      <c r="AK367" s="1"/>
    </row>
    <row r="368" ht="30.0" customHeight="1">
      <c r="A368" s="1"/>
      <c r="B368" s="1"/>
      <c r="C368" s="2"/>
      <c r="D368" s="2"/>
      <c r="E368" s="2"/>
      <c r="F368" s="2"/>
      <c r="G368" s="2"/>
      <c r="H368" s="2"/>
      <c r="I368" s="2"/>
      <c r="J368" s="2"/>
      <c r="K368" s="2"/>
      <c r="L368" s="2"/>
      <c r="M368" s="2"/>
      <c r="N368" s="1"/>
      <c r="O368" s="2"/>
      <c r="P368" s="2"/>
      <c r="Q368" s="2"/>
      <c r="R368" s="2"/>
      <c r="S368" s="2"/>
      <c r="T368" s="2"/>
      <c r="U368" s="2"/>
      <c r="V368" s="2"/>
      <c r="W368" s="2"/>
      <c r="X368" s="2"/>
      <c r="Y368" s="2"/>
      <c r="Z368" s="1"/>
      <c r="AA368" s="1"/>
      <c r="AB368" s="1"/>
      <c r="AC368" s="1"/>
      <c r="AD368" s="1"/>
      <c r="AE368" s="1"/>
      <c r="AF368" s="1"/>
      <c r="AG368" s="1"/>
      <c r="AH368" s="1"/>
      <c r="AI368" s="1"/>
      <c r="AJ368" s="1"/>
      <c r="AK368" s="1"/>
    </row>
    <row r="369" ht="30.0" customHeight="1">
      <c r="A369" s="1"/>
      <c r="B369" s="1"/>
      <c r="C369" s="2"/>
      <c r="D369" s="2"/>
      <c r="E369" s="2"/>
      <c r="F369" s="2"/>
      <c r="G369" s="2"/>
      <c r="H369" s="2"/>
      <c r="I369" s="2"/>
      <c r="J369" s="2"/>
      <c r="K369" s="2"/>
      <c r="L369" s="2"/>
      <c r="M369" s="2"/>
      <c r="N369" s="1"/>
      <c r="O369" s="2"/>
      <c r="P369" s="2"/>
      <c r="Q369" s="2"/>
      <c r="R369" s="2"/>
      <c r="S369" s="2"/>
      <c r="T369" s="2"/>
      <c r="U369" s="2"/>
      <c r="V369" s="2"/>
      <c r="W369" s="2"/>
      <c r="X369" s="2"/>
      <c r="Y369" s="2"/>
      <c r="Z369" s="1"/>
      <c r="AA369" s="1"/>
      <c r="AB369" s="1"/>
      <c r="AC369" s="1"/>
      <c r="AD369" s="1"/>
      <c r="AE369" s="1"/>
      <c r="AF369" s="1"/>
      <c r="AG369" s="1"/>
      <c r="AH369" s="1"/>
      <c r="AI369" s="1"/>
      <c r="AJ369" s="1"/>
      <c r="AK369" s="1"/>
    </row>
    <row r="370" ht="30.0" customHeight="1">
      <c r="A370" s="1"/>
      <c r="B370" s="1"/>
      <c r="C370" s="2"/>
      <c r="D370" s="2"/>
      <c r="E370" s="2"/>
      <c r="F370" s="2"/>
      <c r="G370" s="2"/>
      <c r="H370" s="2"/>
      <c r="I370" s="2"/>
      <c r="J370" s="2"/>
      <c r="K370" s="2"/>
      <c r="L370" s="2"/>
      <c r="M370" s="2"/>
      <c r="N370" s="1"/>
      <c r="O370" s="2"/>
      <c r="P370" s="2"/>
      <c r="Q370" s="2"/>
      <c r="R370" s="2"/>
      <c r="S370" s="2"/>
      <c r="T370" s="2"/>
      <c r="U370" s="2"/>
      <c r="V370" s="2"/>
      <c r="W370" s="2"/>
      <c r="X370" s="2"/>
      <c r="Y370" s="2"/>
      <c r="Z370" s="1"/>
      <c r="AA370" s="1"/>
      <c r="AB370" s="1"/>
      <c r="AC370" s="1"/>
      <c r="AD370" s="1"/>
      <c r="AE370" s="1"/>
      <c r="AF370" s="1"/>
      <c r="AG370" s="1"/>
      <c r="AH370" s="1"/>
      <c r="AI370" s="1"/>
      <c r="AJ370" s="1"/>
      <c r="AK370" s="1"/>
    </row>
    <row r="371" ht="30.0" customHeight="1">
      <c r="A371" s="1"/>
      <c r="B371" s="1"/>
      <c r="C371" s="2"/>
      <c r="D371" s="2"/>
      <c r="E371" s="2"/>
      <c r="F371" s="2"/>
      <c r="G371" s="2"/>
      <c r="H371" s="2"/>
      <c r="I371" s="2"/>
      <c r="J371" s="2"/>
      <c r="K371" s="2"/>
      <c r="L371" s="2"/>
      <c r="M371" s="2"/>
      <c r="N371" s="1"/>
      <c r="O371" s="2"/>
      <c r="P371" s="2"/>
      <c r="Q371" s="2"/>
      <c r="R371" s="2"/>
      <c r="S371" s="2"/>
      <c r="T371" s="2"/>
      <c r="U371" s="2"/>
      <c r="V371" s="2"/>
      <c r="W371" s="2"/>
      <c r="X371" s="2"/>
      <c r="Y371" s="2"/>
      <c r="Z371" s="1"/>
      <c r="AA371" s="1"/>
      <c r="AB371" s="1"/>
      <c r="AC371" s="1"/>
      <c r="AD371" s="1"/>
      <c r="AE371" s="1"/>
      <c r="AF371" s="1"/>
      <c r="AG371" s="1"/>
      <c r="AH371" s="1"/>
      <c r="AI371" s="1"/>
      <c r="AJ371" s="1"/>
      <c r="AK371" s="1"/>
    </row>
    <row r="372" ht="30.0" customHeight="1">
      <c r="A372" s="1"/>
      <c r="B372" s="1"/>
      <c r="C372" s="2"/>
      <c r="D372" s="2"/>
      <c r="E372" s="2"/>
      <c r="F372" s="2"/>
      <c r="G372" s="2"/>
      <c r="H372" s="2"/>
      <c r="I372" s="2"/>
      <c r="J372" s="2"/>
      <c r="K372" s="2"/>
      <c r="L372" s="2"/>
      <c r="M372" s="2"/>
      <c r="N372" s="1"/>
      <c r="O372" s="2"/>
      <c r="P372" s="2"/>
      <c r="Q372" s="2"/>
      <c r="R372" s="2"/>
      <c r="S372" s="2"/>
      <c r="T372" s="2"/>
      <c r="U372" s="2"/>
      <c r="V372" s="2"/>
      <c r="W372" s="2"/>
      <c r="X372" s="2"/>
      <c r="Y372" s="2"/>
      <c r="Z372" s="1"/>
      <c r="AA372" s="1"/>
      <c r="AB372" s="1"/>
      <c r="AC372" s="1"/>
      <c r="AD372" s="1"/>
      <c r="AE372" s="1"/>
      <c r="AF372" s="1"/>
      <c r="AG372" s="1"/>
      <c r="AH372" s="1"/>
      <c r="AI372" s="1"/>
      <c r="AJ372" s="1"/>
      <c r="AK372" s="1"/>
    </row>
    <row r="373" ht="30.0" customHeight="1">
      <c r="A373" s="1"/>
      <c r="B373" s="1"/>
      <c r="C373" s="2"/>
      <c r="D373" s="2"/>
      <c r="E373" s="2"/>
      <c r="F373" s="2"/>
      <c r="G373" s="2"/>
      <c r="H373" s="2"/>
      <c r="I373" s="2"/>
      <c r="J373" s="2"/>
      <c r="K373" s="2"/>
      <c r="L373" s="2"/>
      <c r="M373" s="2"/>
      <c r="N373" s="1"/>
      <c r="O373" s="2"/>
      <c r="P373" s="2"/>
      <c r="Q373" s="2"/>
      <c r="R373" s="2"/>
      <c r="S373" s="2"/>
      <c r="T373" s="2"/>
      <c r="U373" s="2"/>
      <c r="V373" s="2"/>
      <c r="W373" s="2"/>
      <c r="X373" s="2"/>
      <c r="Y373" s="2"/>
      <c r="Z373" s="1"/>
      <c r="AA373" s="1"/>
      <c r="AB373" s="1"/>
      <c r="AC373" s="1"/>
      <c r="AD373" s="1"/>
      <c r="AE373" s="1"/>
      <c r="AF373" s="1"/>
      <c r="AG373" s="1"/>
      <c r="AH373" s="1"/>
      <c r="AI373" s="1"/>
      <c r="AJ373" s="1"/>
      <c r="AK373" s="1"/>
    </row>
    <row r="374" ht="30.0" customHeight="1">
      <c r="A374" s="1"/>
      <c r="B374" s="1"/>
      <c r="C374" s="2"/>
      <c r="D374" s="2"/>
      <c r="E374" s="2"/>
      <c r="F374" s="2"/>
      <c r="G374" s="2"/>
      <c r="H374" s="2"/>
      <c r="I374" s="2"/>
      <c r="J374" s="2"/>
      <c r="K374" s="2"/>
      <c r="L374" s="2"/>
      <c r="M374" s="2"/>
      <c r="N374" s="1"/>
      <c r="O374" s="2"/>
      <c r="P374" s="2"/>
      <c r="Q374" s="2"/>
      <c r="R374" s="2"/>
      <c r="S374" s="2"/>
      <c r="T374" s="2"/>
      <c r="U374" s="2"/>
      <c r="V374" s="2"/>
      <c r="W374" s="2"/>
      <c r="X374" s="2"/>
      <c r="Y374" s="2"/>
      <c r="Z374" s="1"/>
      <c r="AA374" s="1"/>
      <c r="AB374" s="1"/>
      <c r="AC374" s="1"/>
      <c r="AD374" s="1"/>
      <c r="AE374" s="1"/>
      <c r="AF374" s="1"/>
      <c r="AG374" s="1"/>
      <c r="AH374" s="1"/>
      <c r="AI374" s="1"/>
      <c r="AJ374" s="1"/>
      <c r="AK374" s="1"/>
    </row>
    <row r="375" ht="30.0" customHeight="1">
      <c r="A375" s="1"/>
      <c r="B375" s="1"/>
      <c r="C375" s="2"/>
      <c r="D375" s="2"/>
      <c r="E375" s="2"/>
      <c r="F375" s="2"/>
      <c r="G375" s="2"/>
      <c r="H375" s="2"/>
      <c r="I375" s="2"/>
      <c r="J375" s="2"/>
      <c r="K375" s="2"/>
      <c r="L375" s="2"/>
      <c r="M375" s="2"/>
      <c r="N375" s="1"/>
      <c r="O375" s="2"/>
      <c r="P375" s="2"/>
      <c r="Q375" s="2"/>
      <c r="R375" s="2"/>
      <c r="S375" s="2"/>
      <c r="T375" s="2"/>
      <c r="U375" s="2"/>
      <c r="V375" s="2"/>
      <c r="W375" s="2"/>
      <c r="X375" s="2"/>
      <c r="Y375" s="2"/>
      <c r="Z375" s="1"/>
      <c r="AA375" s="1"/>
      <c r="AB375" s="1"/>
      <c r="AC375" s="1"/>
      <c r="AD375" s="1"/>
      <c r="AE375" s="1"/>
      <c r="AF375" s="1"/>
      <c r="AG375" s="1"/>
      <c r="AH375" s="1"/>
      <c r="AI375" s="1"/>
      <c r="AJ375" s="1"/>
      <c r="AK375" s="1"/>
    </row>
    <row r="376" ht="30.0" customHeight="1">
      <c r="A376" s="1"/>
      <c r="B376" s="1"/>
      <c r="C376" s="2"/>
      <c r="D376" s="2"/>
      <c r="E376" s="2"/>
      <c r="F376" s="2"/>
      <c r="G376" s="2"/>
      <c r="H376" s="2"/>
      <c r="I376" s="2"/>
      <c r="J376" s="2"/>
      <c r="K376" s="2"/>
      <c r="L376" s="2"/>
      <c r="M376" s="2"/>
      <c r="N376" s="1"/>
      <c r="O376" s="2"/>
      <c r="P376" s="2"/>
      <c r="Q376" s="2"/>
      <c r="R376" s="2"/>
      <c r="S376" s="2"/>
      <c r="T376" s="2"/>
      <c r="U376" s="2"/>
      <c r="V376" s="2"/>
      <c r="W376" s="2"/>
      <c r="X376" s="2"/>
      <c r="Y376" s="2"/>
      <c r="Z376" s="1"/>
      <c r="AA376" s="1"/>
      <c r="AB376" s="1"/>
      <c r="AC376" s="1"/>
      <c r="AD376" s="1"/>
      <c r="AE376" s="1"/>
      <c r="AF376" s="1"/>
      <c r="AG376" s="1"/>
      <c r="AH376" s="1"/>
      <c r="AI376" s="1"/>
      <c r="AJ376" s="1"/>
      <c r="AK376" s="1"/>
    </row>
    <row r="377" ht="30.0" customHeight="1">
      <c r="A377" s="1"/>
      <c r="B377" s="1"/>
      <c r="C377" s="2"/>
      <c r="D377" s="2"/>
      <c r="E377" s="2"/>
      <c r="F377" s="2"/>
      <c r="G377" s="2"/>
      <c r="H377" s="2"/>
      <c r="I377" s="2"/>
      <c r="J377" s="2"/>
      <c r="K377" s="2"/>
      <c r="L377" s="2"/>
      <c r="M377" s="2"/>
      <c r="N377" s="1"/>
      <c r="O377" s="2"/>
      <c r="P377" s="2"/>
      <c r="Q377" s="2"/>
      <c r="R377" s="2"/>
      <c r="S377" s="2"/>
      <c r="T377" s="2"/>
      <c r="U377" s="2"/>
      <c r="V377" s="2"/>
      <c r="W377" s="2"/>
      <c r="X377" s="2"/>
      <c r="Y377" s="2"/>
      <c r="Z377" s="1"/>
      <c r="AA377" s="1"/>
      <c r="AB377" s="1"/>
      <c r="AC377" s="1"/>
      <c r="AD377" s="1"/>
      <c r="AE377" s="1"/>
      <c r="AF377" s="1"/>
      <c r="AG377" s="1"/>
      <c r="AH377" s="1"/>
      <c r="AI377" s="1"/>
      <c r="AJ377" s="1"/>
      <c r="AK377" s="1"/>
    </row>
    <row r="378" ht="30.0" customHeight="1">
      <c r="A378" s="1"/>
      <c r="B378" s="1"/>
      <c r="C378" s="2"/>
      <c r="D378" s="2"/>
      <c r="E378" s="2"/>
      <c r="F378" s="2"/>
      <c r="G378" s="2"/>
      <c r="H378" s="2"/>
      <c r="I378" s="2"/>
      <c r="J378" s="2"/>
      <c r="K378" s="2"/>
      <c r="L378" s="2"/>
      <c r="M378" s="2"/>
      <c r="N378" s="1"/>
      <c r="O378" s="2"/>
      <c r="P378" s="2"/>
      <c r="Q378" s="2"/>
      <c r="R378" s="2"/>
      <c r="S378" s="2"/>
      <c r="T378" s="2"/>
      <c r="U378" s="2"/>
      <c r="V378" s="2"/>
      <c r="W378" s="2"/>
      <c r="X378" s="2"/>
      <c r="Y378" s="2"/>
      <c r="Z378" s="1"/>
      <c r="AA378" s="1"/>
      <c r="AB378" s="1"/>
      <c r="AC378" s="1"/>
      <c r="AD378" s="1"/>
      <c r="AE378" s="1"/>
      <c r="AF378" s="1"/>
      <c r="AG378" s="1"/>
      <c r="AH378" s="1"/>
      <c r="AI378" s="1"/>
      <c r="AJ378" s="1"/>
      <c r="AK378" s="1"/>
    </row>
    <row r="379" ht="30.0" customHeight="1">
      <c r="A379" s="1"/>
      <c r="B379" s="1"/>
      <c r="C379" s="2"/>
      <c r="D379" s="2"/>
      <c r="E379" s="2"/>
      <c r="F379" s="2"/>
      <c r="G379" s="2"/>
      <c r="H379" s="2"/>
      <c r="I379" s="2"/>
      <c r="J379" s="2"/>
      <c r="K379" s="2"/>
      <c r="L379" s="2"/>
      <c r="M379" s="2"/>
      <c r="N379" s="1"/>
      <c r="O379" s="2"/>
      <c r="P379" s="2"/>
      <c r="Q379" s="2"/>
      <c r="R379" s="2"/>
      <c r="S379" s="2"/>
      <c r="T379" s="2"/>
      <c r="U379" s="2"/>
      <c r="V379" s="2"/>
      <c r="W379" s="2"/>
      <c r="X379" s="2"/>
      <c r="Y379" s="2"/>
      <c r="Z379" s="1"/>
      <c r="AA379" s="1"/>
      <c r="AB379" s="1"/>
      <c r="AC379" s="1"/>
      <c r="AD379" s="1"/>
      <c r="AE379" s="1"/>
      <c r="AF379" s="1"/>
      <c r="AG379" s="1"/>
      <c r="AH379" s="1"/>
      <c r="AI379" s="1"/>
      <c r="AJ379" s="1"/>
      <c r="AK379" s="1"/>
    </row>
    <row r="380" ht="30.0" customHeight="1">
      <c r="A380" s="1"/>
      <c r="B380" s="1"/>
      <c r="C380" s="2"/>
      <c r="D380" s="2"/>
      <c r="E380" s="2"/>
      <c r="F380" s="2"/>
      <c r="G380" s="2"/>
      <c r="H380" s="2"/>
      <c r="I380" s="2"/>
      <c r="J380" s="2"/>
      <c r="K380" s="2"/>
      <c r="L380" s="2"/>
      <c r="M380" s="2"/>
      <c r="N380" s="1"/>
      <c r="O380" s="2"/>
      <c r="P380" s="2"/>
      <c r="Q380" s="2"/>
      <c r="R380" s="2"/>
      <c r="S380" s="2"/>
      <c r="T380" s="2"/>
      <c r="U380" s="2"/>
      <c r="V380" s="2"/>
      <c r="W380" s="2"/>
      <c r="X380" s="2"/>
      <c r="Y380" s="2"/>
      <c r="Z380" s="1"/>
      <c r="AA380" s="1"/>
      <c r="AB380" s="1"/>
      <c r="AC380" s="1"/>
      <c r="AD380" s="1"/>
      <c r="AE380" s="1"/>
      <c r="AF380" s="1"/>
      <c r="AG380" s="1"/>
      <c r="AH380" s="1"/>
      <c r="AI380" s="1"/>
      <c r="AJ380" s="1"/>
      <c r="AK380" s="1"/>
    </row>
    <row r="381" ht="30.0" customHeight="1">
      <c r="A381" s="1"/>
      <c r="B381" s="1"/>
      <c r="C381" s="2"/>
      <c r="D381" s="2"/>
      <c r="E381" s="2"/>
      <c r="F381" s="2"/>
      <c r="G381" s="2"/>
      <c r="H381" s="2"/>
      <c r="I381" s="2"/>
      <c r="J381" s="2"/>
      <c r="K381" s="2"/>
      <c r="L381" s="2"/>
      <c r="M381" s="2"/>
      <c r="N381" s="1"/>
      <c r="O381" s="2"/>
      <c r="P381" s="2"/>
      <c r="Q381" s="2"/>
      <c r="R381" s="2"/>
      <c r="S381" s="2"/>
      <c r="T381" s="2"/>
      <c r="U381" s="2"/>
      <c r="V381" s="2"/>
      <c r="W381" s="2"/>
      <c r="X381" s="2"/>
      <c r="Y381" s="2"/>
      <c r="Z381" s="1"/>
      <c r="AA381" s="1"/>
      <c r="AB381" s="1"/>
      <c r="AC381" s="1"/>
      <c r="AD381" s="1"/>
      <c r="AE381" s="1"/>
      <c r="AF381" s="1"/>
      <c r="AG381" s="1"/>
      <c r="AH381" s="1"/>
      <c r="AI381" s="1"/>
      <c r="AJ381" s="1"/>
      <c r="AK381" s="1"/>
    </row>
    <row r="382" ht="30.0" customHeight="1">
      <c r="A382" s="1"/>
      <c r="B382" s="1"/>
      <c r="C382" s="2"/>
      <c r="D382" s="2"/>
      <c r="E382" s="2"/>
      <c r="F382" s="2"/>
      <c r="G382" s="2"/>
      <c r="H382" s="2"/>
      <c r="I382" s="2"/>
      <c r="J382" s="2"/>
      <c r="K382" s="2"/>
      <c r="L382" s="2"/>
      <c r="M382" s="2"/>
      <c r="N382" s="1"/>
      <c r="O382" s="2"/>
      <c r="P382" s="2"/>
      <c r="Q382" s="2"/>
      <c r="R382" s="2"/>
      <c r="S382" s="2"/>
      <c r="T382" s="2"/>
      <c r="U382" s="2"/>
      <c r="V382" s="2"/>
      <c r="W382" s="2"/>
      <c r="X382" s="2"/>
      <c r="Y382" s="2"/>
      <c r="Z382" s="1"/>
      <c r="AA382" s="1"/>
      <c r="AB382" s="1"/>
      <c r="AC382" s="1"/>
      <c r="AD382" s="1"/>
      <c r="AE382" s="1"/>
      <c r="AF382" s="1"/>
      <c r="AG382" s="1"/>
      <c r="AH382" s="1"/>
      <c r="AI382" s="1"/>
      <c r="AJ382" s="1"/>
      <c r="AK382" s="1"/>
    </row>
    <row r="383" ht="30.0" customHeight="1">
      <c r="A383" s="1"/>
      <c r="B383" s="1"/>
      <c r="C383" s="2"/>
      <c r="D383" s="2"/>
      <c r="E383" s="2"/>
      <c r="F383" s="2"/>
      <c r="G383" s="2"/>
      <c r="H383" s="2"/>
      <c r="I383" s="2"/>
      <c r="J383" s="2"/>
      <c r="K383" s="2"/>
      <c r="L383" s="2"/>
      <c r="M383" s="2"/>
      <c r="N383" s="1"/>
      <c r="O383" s="2"/>
      <c r="P383" s="2"/>
      <c r="Q383" s="2"/>
      <c r="R383" s="2"/>
      <c r="S383" s="2"/>
      <c r="T383" s="2"/>
      <c r="U383" s="2"/>
      <c r="V383" s="2"/>
      <c r="W383" s="2"/>
      <c r="X383" s="2"/>
      <c r="Y383" s="2"/>
      <c r="Z383" s="1"/>
      <c r="AA383" s="1"/>
      <c r="AB383" s="1"/>
      <c r="AC383" s="1"/>
      <c r="AD383" s="1"/>
      <c r="AE383" s="1"/>
      <c r="AF383" s="1"/>
      <c r="AG383" s="1"/>
      <c r="AH383" s="1"/>
      <c r="AI383" s="1"/>
      <c r="AJ383" s="1"/>
      <c r="AK383" s="1"/>
    </row>
    <row r="384" ht="30.0" customHeight="1">
      <c r="A384" s="1"/>
      <c r="B384" s="1"/>
      <c r="C384" s="2"/>
      <c r="D384" s="2"/>
      <c r="E384" s="2"/>
      <c r="F384" s="2"/>
      <c r="G384" s="2"/>
      <c r="H384" s="2"/>
      <c r="I384" s="2"/>
      <c r="J384" s="2"/>
      <c r="K384" s="2"/>
      <c r="L384" s="2"/>
      <c r="M384" s="2"/>
      <c r="N384" s="1"/>
      <c r="O384" s="2"/>
      <c r="P384" s="2"/>
      <c r="Q384" s="2"/>
      <c r="R384" s="2"/>
      <c r="S384" s="2"/>
      <c r="T384" s="2"/>
      <c r="U384" s="2"/>
      <c r="V384" s="2"/>
      <c r="W384" s="2"/>
      <c r="X384" s="2"/>
      <c r="Y384" s="2"/>
      <c r="Z384" s="1"/>
      <c r="AA384" s="1"/>
      <c r="AB384" s="1"/>
      <c r="AC384" s="1"/>
      <c r="AD384" s="1"/>
      <c r="AE384" s="1"/>
      <c r="AF384" s="1"/>
      <c r="AG384" s="1"/>
      <c r="AH384" s="1"/>
      <c r="AI384" s="1"/>
      <c r="AJ384" s="1"/>
      <c r="AK384" s="1"/>
    </row>
    <row r="385" ht="30.0" customHeight="1">
      <c r="A385" s="1"/>
      <c r="B385" s="1"/>
      <c r="C385" s="2"/>
      <c r="D385" s="2"/>
      <c r="E385" s="2"/>
      <c r="F385" s="2"/>
      <c r="G385" s="2"/>
      <c r="H385" s="2"/>
      <c r="I385" s="2"/>
      <c r="J385" s="2"/>
      <c r="K385" s="2"/>
      <c r="L385" s="2"/>
      <c r="M385" s="2"/>
      <c r="N385" s="1"/>
      <c r="O385" s="2"/>
      <c r="P385" s="2"/>
      <c r="Q385" s="2"/>
      <c r="R385" s="2"/>
      <c r="S385" s="2"/>
      <c r="T385" s="2"/>
      <c r="U385" s="2"/>
      <c r="V385" s="2"/>
      <c r="W385" s="2"/>
      <c r="X385" s="2"/>
      <c r="Y385" s="2"/>
      <c r="Z385" s="1"/>
      <c r="AA385" s="1"/>
      <c r="AB385" s="1"/>
      <c r="AC385" s="1"/>
      <c r="AD385" s="1"/>
      <c r="AE385" s="1"/>
      <c r="AF385" s="1"/>
      <c r="AG385" s="1"/>
      <c r="AH385" s="1"/>
      <c r="AI385" s="1"/>
      <c r="AJ385" s="1"/>
      <c r="AK385" s="1"/>
    </row>
    <row r="386" ht="30.0" customHeight="1">
      <c r="A386" s="1"/>
      <c r="B386" s="1"/>
      <c r="C386" s="2"/>
      <c r="D386" s="2"/>
      <c r="E386" s="2"/>
      <c r="F386" s="2"/>
      <c r="G386" s="2"/>
      <c r="H386" s="2"/>
      <c r="I386" s="2"/>
      <c r="J386" s="2"/>
      <c r="K386" s="2"/>
      <c r="L386" s="2"/>
      <c r="M386" s="2"/>
      <c r="N386" s="1"/>
      <c r="O386" s="2"/>
      <c r="P386" s="2"/>
      <c r="Q386" s="2"/>
      <c r="R386" s="2"/>
      <c r="S386" s="2"/>
      <c r="T386" s="2"/>
      <c r="U386" s="2"/>
      <c r="V386" s="2"/>
      <c r="W386" s="2"/>
      <c r="X386" s="2"/>
      <c r="Y386" s="2"/>
      <c r="Z386" s="1"/>
      <c r="AA386" s="1"/>
      <c r="AB386" s="1"/>
      <c r="AC386" s="1"/>
      <c r="AD386" s="1"/>
      <c r="AE386" s="1"/>
      <c r="AF386" s="1"/>
      <c r="AG386" s="1"/>
      <c r="AH386" s="1"/>
      <c r="AI386" s="1"/>
      <c r="AJ386" s="1"/>
      <c r="AK386" s="1"/>
    </row>
    <row r="387" ht="30.0" customHeight="1">
      <c r="A387" s="1"/>
      <c r="B387" s="1"/>
      <c r="C387" s="2"/>
      <c r="D387" s="2"/>
      <c r="E387" s="2"/>
      <c r="F387" s="2"/>
      <c r="G387" s="2"/>
      <c r="H387" s="2"/>
      <c r="I387" s="2"/>
      <c r="J387" s="2"/>
      <c r="K387" s="2"/>
      <c r="L387" s="2"/>
      <c r="M387" s="2"/>
      <c r="N387" s="1"/>
      <c r="O387" s="2"/>
      <c r="P387" s="2"/>
      <c r="Q387" s="2"/>
      <c r="R387" s="2"/>
      <c r="S387" s="2"/>
      <c r="T387" s="2"/>
      <c r="U387" s="2"/>
      <c r="V387" s="2"/>
      <c r="W387" s="2"/>
      <c r="X387" s="2"/>
      <c r="Y387" s="2"/>
      <c r="Z387" s="1"/>
      <c r="AA387" s="1"/>
      <c r="AB387" s="1"/>
      <c r="AC387" s="1"/>
      <c r="AD387" s="1"/>
      <c r="AE387" s="1"/>
      <c r="AF387" s="1"/>
      <c r="AG387" s="1"/>
      <c r="AH387" s="1"/>
      <c r="AI387" s="1"/>
      <c r="AJ387" s="1"/>
      <c r="AK387" s="1"/>
    </row>
    <row r="388" ht="30.0" customHeight="1">
      <c r="A388" s="1"/>
      <c r="B388" s="1"/>
      <c r="C388" s="2"/>
      <c r="D388" s="2"/>
      <c r="E388" s="2"/>
      <c r="F388" s="2"/>
      <c r="G388" s="2"/>
      <c r="H388" s="2"/>
      <c r="I388" s="2"/>
      <c r="J388" s="2"/>
      <c r="K388" s="2"/>
      <c r="L388" s="2"/>
      <c r="M388" s="2"/>
      <c r="N388" s="1"/>
      <c r="O388" s="2"/>
      <c r="P388" s="2"/>
      <c r="Q388" s="2"/>
      <c r="R388" s="2"/>
      <c r="S388" s="2"/>
      <c r="T388" s="2"/>
      <c r="U388" s="2"/>
      <c r="V388" s="2"/>
      <c r="W388" s="2"/>
      <c r="X388" s="2"/>
      <c r="Y388" s="2"/>
      <c r="Z388" s="1"/>
      <c r="AA388" s="1"/>
      <c r="AB388" s="1"/>
      <c r="AC388" s="1"/>
      <c r="AD388" s="1"/>
      <c r="AE388" s="1"/>
      <c r="AF388" s="1"/>
      <c r="AG388" s="1"/>
      <c r="AH388" s="1"/>
      <c r="AI388" s="1"/>
      <c r="AJ388" s="1"/>
      <c r="AK388" s="1"/>
    </row>
    <row r="389" ht="30.0" customHeight="1">
      <c r="A389" s="1"/>
      <c r="B389" s="1"/>
      <c r="C389" s="2"/>
      <c r="D389" s="2"/>
      <c r="E389" s="2"/>
      <c r="F389" s="2"/>
      <c r="G389" s="2"/>
      <c r="H389" s="2"/>
      <c r="I389" s="2"/>
      <c r="J389" s="2"/>
      <c r="K389" s="2"/>
      <c r="L389" s="2"/>
      <c r="M389" s="2"/>
      <c r="N389" s="1"/>
      <c r="O389" s="2"/>
      <c r="P389" s="2"/>
      <c r="Q389" s="2"/>
      <c r="R389" s="2"/>
      <c r="S389" s="2"/>
      <c r="T389" s="2"/>
      <c r="U389" s="2"/>
      <c r="V389" s="2"/>
      <c r="W389" s="2"/>
      <c r="X389" s="2"/>
      <c r="Y389" s="2"/>
      <c r="Z389" s="1"/>
      <c r="AA389" s="1"/>
      <c r="AB389" s="1"/>
      <c r="AC389" s="1"/>
      <c r="AD389" s="1"/>
      <c r="AE389" s="1"/>
      <c r="AF389" s="1"/>
      <c r="AG389" s="1"/>
      <c r="AH389" s="1"/>
      <c r="AI389" s="1"/>
      <c r="AJ389" s="1"/>
      <c r="AK389" s="1"/>
    </row>
    <row r="390" ht="30.0" customHeight="1">
      <c r="A390" s="1"/>
      <c r="B390" s="1"/>
      <c r="C390" s="2"/>
      <c r="D390" s="2"/>
      <c r="E390" s="2"/>
      <c r="F390" s="2"/>
      <c r="G390" s="2"/>
      <c r="H390" s="2"/>
      <c r="I390" s="2"/>
      <c r="J390" s="2"/>
      <c r="K390" s="2"/>
      <c r="L390" s="2"/>
      <c r="M390" s="2"/>
      <c r="N390" s="1"/>
      <c r="O390" s="2"/>
      <c r="P390" s="2"/>
      <c r="Q390" s="2"/>
      <c r="R390" s="2"/>
      <c r="S390" s="2"/>
      <c r="T390" s="2"/>
      <c r="U390" s="2"/>
      <c r="V390" s="2"/>
      <c r="W390" s="2"/>
      <c r="X390" s="2"/>
      <c r="Y390" s="2"/>
      <c r="Z390" s="1"/>
      <c r="AA390" s="1"/>
      <c r="AB390" s="1"/>
      <c r="AC390" s="1"/>
      <c r="AD390" s="1"/>
      <c r="AE390" s="1"/>
      <c r="AF390" s="1"/>
      <c r="AG390" s="1"/>
      <c r="AH390" s="1"/>
      <c r="AI390" s="1"/>
      <c r="AJ390" s="1"/>
      <c r="AK390" s="1"/>
    </row>
    <row r="391" ht="30.0" customHeight="1">
      <c r="A391" s="1"/>
      <c r="B391" s="1"/>
      <c r="C391" s="2"/>
      <c r="D391" s="2"/>
      <c r="E391" s="2"/>
      <c r="F391" s="2"/>
      <c r="G391" s="2"/>
      <c r="H391" s="2"/>
      <c r="I391" s="2"/>
      <c r="J391" s="2"/>
      <c r="K391" s="2"/>
      <c r="L391" s="2"/>
      <c r="M391" s="2"/>
      <c r="N391" s="1"/>
      <c r="O391" s="2"/>
      <c r="P391" s="2"/>
      <c r="Q391" s="2"/>
      <c r="R391" s="2"/>
      <c r="S391" s="2"/>
      <c r="T391" s="2"/>
      <c r="U391" s="2"/>
      <c r="V391" s="2"/>
      <c r="W391" s="2"/>
      <c r="X391" s="2"/>
      <c r="Y391" s="2"/>
      <c r="Z391" s="1"/>
      <c r="AA391" s="1"/>
      <c r="AB391" s="1"/>
      <c r="AC391" s="1"/>
      <c r="AD391" s="1"/>
      <c r="AE391" s="1"/>
      <c r="AF391" s="1"/>
      <c r="AG391" s="1"/>
      <c r="AH391" s="1"/>
      <c r="AI391" s="1"/>
      <c r="AJ391" s="1"/>
      <c r="AK391" s="1"/>
    </row>
    <row r="392" ht="30.0" customHeight="1">
      <c r="A392" s="1"/>
      <c r="B392" s="1"/>
      <c r="C392" s="2"/>
      <c r="D392" s="2"/>
      <c r="E392" s="2"/>
      <c r="F392" s="2"/>
      <c r="G392" s="2"/>
      <c r="H392" s="2"/>
      <c r="I392" s="2"/>
      <c r="J392" s="2"/>
      <c r="K392" s="2"/>
      <c r="L392" s="2"/>
      <c r="M392" s="2"/>
      <c r="N392" s="1"/>
      <c r="O392" s="2"/>
      <c r="P392" s="2"/>
      <c r="Q392" s="2"/>
      <c r="R392" s="2"/>
      <c r="S392" s="2"/>
      <c r="T392" s="2"/>
      <c r="U392" s="2"/>
      <c r="V392" s="2"/>
      <c r="W392" s="2"/>
      <c r="X392" s="2"/>
      <c r="Y392" s="2"/>
      <c r="Z392" s="1"/>
      <c r="AA392" s="1"/>
      <c r="AB392" s="1"/>
      <c r="AC392" s="1"/>
      <c r="AD392" s="1"/>
      <c r="AE392" s="1"/>
      <c r="AF392" s="1"/>
      <c r="AG392" s="1"/>
      <c r="AH392" s="1"/>
      <c r="AI392" s="1"/>
      <c r="AJ392" s="1"/>
      <c r="AK392" s="1"/>
    </row>
    <row r="393" ht="30.0" customHeight="1">
      <c r="A393" s="1"/>
      <c r="B393" s="1"/>
      <c r="C393" s="2"/>
      <c r="D393" s="2"/>
      <c r="E393" s="2"/>
      <c r="F393" s="2"/>
      <c r="G393" s="2"/>
      <c r="H393" s="2"/>
      <c r="I393" s="2"/>
      <c r="J393" s="2"/>
      <c r="K393" s="2"/>
      <c r="L393" s="2"/>
      <c r="M393" s="2"/>
      <c r="N393" s="1"/>
      <c r="O393" s="2"/>
      <c r="P393" s="2"/>
      <c r="Q393" s="2"/>
      <c r="R393" s="2"/>
      <c r="S393" s="2"/>
      <c r="T393" s="2"/>
      <c r="U393" s="2"/>
      <c r="V393" s="2"/>
      <c r="W393" s="2"/>
      <c r="X393" s="2"/>
      <c r="Y393" s="2"/>
      <c r="Z393" s="1"/>
      <c r="AA393" s="1"/>
      <c r="AB393" s="1"/>
      <c r="AC393" s="1"/>
      <c r="AD393" s="1"/>
      <c r="AE393" s="1"/>
      <c r="AF393" s="1"/>
      <c r="AG393" s="1"/>
      <c r="AH393" s="1"/>
      <c r="AI393" s="1"/>
      <c r="AJ393" s="1"/>
      <c r="AK393" s="1"/>
    </row>
    <row r="394" ht="30.0" customHeight="1">
      <c r="A394" s="1"/>
      <c r="B394" s="1"/>
      <c r="C394" s="2"/>
      <c r="D394" s="2"/>
      <c r="E394" s="2"/>
      <c r="F394" s="2"/>
      <c r="G394" s="2"/>
      <c r="H394" s="2"/>
      <c r="I394" s="2"/>
      <c r="J394" s="2"/>
      <c r="K394" s="2"/>
      <c r="L394" s="2"/>
      <c r="M394" s="2"/>
      <c r="N394" s="1"/>
      <c r="O394" s="2"/>
      <c r="P394" s="2"/>
      <c r="Q394" s="2"/>
      <c r="R394" s="2"/>
      <c r="S394" s="2"/>
      <c r="T394" s="2"/>
      <c r="U394" s="2"/>
      <c r="V394" s="2"/>
      <c r="W394" s="2"/>
      <c r="X394" s="2"/>
      <c r="Y394" s="2"/>
      <c r="Z394" s="1"/>
      <c r="AA394" s="1"/>
      <c r="AB394" s="1"/>
      <c r="AC394" s="1"/>
      <c r="AD394" s="1"/>
      <c r="AE394" s="1"/>
      <c r="AF394" s="1"/>
      <c r="AG394" s="1"/>
      <c r="AH394" s="1"/>
      <c r="AI394" s="1"/>
      <c r="AJ394" s="1"/>
      <c r="AK394" s="1"/>
    </row>
    <row r="395" ht="30.0" customHeight="1">
      <c r="A395" s="1"/>
      <c r="B395" s="1"/>
      <c r="C395" s="2"/>
      <c r="D395" s="2"/>
      <c r="E395" s="2"/>
      <c r="F395" s="2"/>
      <c r="G395" s="2"/>
      <c r="H395" s="2"/>
      <c r="I395" s="2"/>
      <c r="J395" s="2"/>
      <c r="K395" s="2"/>
      <c r="L395" s="2"/>
      <c r="M395" s="2"/>
      <c r="N395" s="1"/>
      <c r="O395" s="2"/>
      <c r="P395" s="2"/>
      <c r="Q395" s="2"/>
      <c r="R395" s="2"/>
      <c r="S395" s="2"/>
      <c r="T395" s="2"/>
      <c r="U395" s="2"/>
      <c r="V395" s="2"/>
      <c r="W395" s="2"/>
      <c r="X395" s="2"/>
      <c r="Y395" s="2"/>
      <c r="Z395" s="1"/>
      <c r="AA395" s="1"/>
      <c r="AB395" s="1"/>
      <c r="AC395" s="1"/>
      <c r="AD395" s="1"/>
      <c r="AE395" s="1"/>
      <c r="AF395" s="1"/>
      <c r="AG395" s="1"/>
      <c r="AH395" s="1"/>
      <c r="AI395" s="1"/>
      <c r="AJ395" s="1"/>
      <c r="AK395" s="1"/>
    </row>
    <row r="396" ht="30.0" customHeight="1">
      <c r="A396" s="1"/>
      <c r="B396" s="1"/>
      <c r="C396" s="2"/>
      <c r="D396" s="2"/>
      <c r="E396" s="2"/>
      <c r="F396" s="2"/>
      <c r="G396" s="2"/>
      <c r="H396" s="2"/>
      <c r="I396" s="2"/>
      <c r="J396" s="2"/>
      <c r="K396" s="2"/>
      <c r="L396" s="2"/>
      <c r="M396" s="2"/>
      <c r="N396" s="1"/>
      <c r="O396" s="2"/>
      <c r="P396" s="2"/>
      <c r="Q396" s="2"/>
      <c r="R396" s="2"/>
      <c r="S396" s="2"/>
      <c r="T396" s="2"/>
      <c r="U396" s="2"/>
      <c r="V396" s="2"/>
      <c r="W396" s="2"/>
      <c r="X396" s="2"/>
      <c r="Y396" s="2"/>
      <c r="Z396" s="1"/>
      <c r="AA396" s="1"/>
      <c r="AB396" s="1"/>
      <c r="AC396" s="1"/>
      <c r="AD396" s="1"/>
      <c r="AE396" s="1"/>
      <c r="AF396" s="1"/>
      <c r="AG396" s="1"/>
      <c r="AH396" s="1"/>
      <c r="AI396" s="1"/>
      <c r="AJ396" s="1"/>
      <c r="AK396" s="1"/>
    </row>
    <row r="397" ht="30.0" customHeight="1">
      <c r="A397" s="1"/>
      <c r="B397" s="1"/>
      <c r="C397" s="2"/>
      <c r="D397" s="2"/>
      <c r="E397" s="2"/>
      <c r="F397" s="2"/>
      <c r="G397" s="2"/>
      <c r="H397" s="2"/>
      <c r="I397" s="2"/>
      <c r="J397" s="2"/>
      <c r="K397" s="2"/>
      <c r="L397" s="2"/>
      <c r="M397" s="2"/>
      <c r="N397" s="1"/>
      <c r="O397" s="2"/>
      <c r="P397" s="2"/>
      <c r="Q397" s="2"/>
      <c r="R397" s="2"/>
      <c r="S397" s="2"/>
      <c r="T397" s="2"/>
      <c r="U397" s="2"/>
      <c r="V397" s="2"/>
      <c r="W397" s="2"/>
      <c r="X397" s="2"/>
      <c r="Y397" s="2"/>
      <c r="Z397" s="1"/>
      <c r="AA397" s="1"/>
      <c r="AB397" s="1"/>
      <c r="AC397" s="1"/>
      <c r="AD397" s="1"/>
      <c r="AE397" s="1"/>
      <c r="AF397" s="1"/>
      <c r="AG397" s="1"/>
      <c r="AH397" s="1"/>
      <c r="AI397" s="1"/>
      <c r="AJ397" s="1"/>
      <c r="AK397" s="1"/>
    </row>
    <row r="398" ht="30.0" customHeight="1">
      <c r="A398" s="1"/>
      <c r="B398" s="1"/>
      <c r="C398" s="2"/>
      <c r="D398" s="2"/>
      <c r="E398" s="2"/>
      <c r="F398" s="2"/>
      <c r="G398" s="2"/>
      <c r="H398" s="2"/>
      <c r="I398" s="2"/>
      <c r="J398" s="2"/>
      <c r="K398" s="2"/>
      <c r="L398" s="2"/>
      <c r="M398" s="2"/>
      <c r="N398" s="1"/>
      <c r="O398" s="2"/>
      <c r="P398" s="2"/>
      <c r="Q398" s="2"/>
      <c r="R398" s="2"/>
      <c r="S398" s="2"/>
      <c r="T398" s="2"/>
      <c r="U398" s="2"/>
      <c r="V398" s="2"/>
      <c r="W398" s="2"/>
      <c r="X398" s="2"/>
      <c r="Y398" s="2"/>
      <c r="Z398" s="1"/>
      <c r="AA398" s="1"/>
      <c r="AB398" s="1"/>
      <c r="AC398" s="1"/>
      <c r="AD398" s="1"/>
      <c r="AE398" s="1"/>
      <c r="AF398" s="1"/>
      <c r="AG398" s="1"/>
      <c r="AH398" s="1"/>
      <c r="AI398" s="1"/>
      <c r="AJ398" s="1"/>
      <c r="AK398" s="1"/>
    </row>
    <row r="399" ht="30.0" customHeight="1">
      <c r="A399" s="1"/>
      <c r="B399" s="1"/>
      <c r="C399" s="2"/>
      <c r="D399" s="2"/>
      <c r="E399" s="2"/>
      <c r="F399" s="2"/>
      <c r="G399" s="2"/>
      <c r="H399" s="2"/>
      <c r="I399" s="2"/>
      <c r="J399" s="2"/>
      <c r="K399" s="2"/>
      <c r="L399" s="2"/>
      <c r="M399" s="2"/>
      <c r="N399" s="1"/>
      <c r="O399" s="2"/>
      <c r="P399" s="2"/>
      <c r="Q399" s="2"/>
      <c r="R399" s="2"/>
      <c r="S399" s="2"/>
      <c r="T399" s="2"/>
      <c r="U399" s="2"/>
      <c r="V399" s="2"/>
      <c r="W399" s="2"/>
      <c r="X399" s="2"/>
      <c r="Y399" s="2"/>
      <c r="Z399" s="1"/>
      <c r="AA399" s="1"/>
      <c r="AB399" s="1"/>
      <c r="AC399" s="1"/>
      <c r="AD399" s="1"/>
      <c r="AE399" s="1"/>
      <c r="AF399" s="1"/>
      <c r="AG399" s="1"/>
      <c r="AH399" s="1"/>
      <c r="AI399" s="1"/>
      <c r="AJ399" s="1"/>
      <c r="AK399" s="1"/>
    </row>
    <row r="400" ht="30.0" customHeight="1">
      <c r="A400" s="1"/>
      <c r="B400" s="1"/>
      <c r="C400" s="2"/>
      <c r="D400" s="2"/>
      <c r="E400" s="2"/>
      <c r="F400" s="2"/>
      <c r="G400" s="2"/>
      <c r="H400" s="2"/>
      <c r="I400" s="2"/>
      <c r="J400" s="2"/>
      <c r="K400" s="2"/>
      <c r="L400" s="2"/>
      <c r="M400" s="2"/>
      <c r="N400" s="1"/>
      <c r="O400" s="2"/>
      <c r="P400" s="2"/>
      <c r="Q400" s="2"/>
      <c r="R400" s="2"/>
      <c r="S400" s="2"/>
      <c r="T400" s="2"/>
      <c r="U400" s="2"/>
      <c r="V400" s="2"/>
      <c r="W400" s="2"/>
      <c r="X400" s="2"/>
      <c r="Y400" s="2"/>
      <c r="Z400" s="1"/>
      <c r="AA400" s="1"/>
      <c r="AB400" s="1"/>
      <c r="AC400" s="1"/>
      <c r="AD400" s="1"/>
      <c r="AE400" s="1"/>
      <c r="AF400" s="1"/>
      <c r="AG400" s="1"/>
      <c r="AH400" s="1"/>
      <c r="AI400" s="1"/>
      <c r="AJ400" s="1"/>
      <c r="AK400" s="1"/>
    </row>
    <row r="401" ht="30.0" customHeight="1">
      <c r="A401" s="1"/>
      <c r="B401" s="1"/>
      <c r="C401" s="2"/>
      <c r="D401" s="2"/>
      <c r="E401" s="2"/>
      <c r="F401" s="2"/>
      <c r="G401" s="2"/>
      <c r="H401" s="2"/>
      <c r="I401" s="2"/>
      <c r="J401" s="2"/>
      <c r="K401" s="2"/>
      <c r="L401" s="2"/>
      <c r="M401" s="2"/>
      <c r="N401" s="1"/>
      <c r="O401" s="2"/>
      <c r="P401" s="2"/>
      <c r="Q401" s="2"/>
      <c r="R401" s="2"/>
      <c r="S401" s="2"/>
      <c r="T401" s="2"/>
      <c r="U401" s="2"/>
      <c r="V401" s="2"/>
      <c r="W401" s="2"/>
      <c r="X401" s="2"/>
      <c r="Y401" s="2"/>
      <c r="Z401" s="1"/>
      <c r="AA401" s="1"/>
      <c r="AB401" s="1"/>
      <c r="AC401" s="1"/>
      <c r="AD401" s="1"/>
      <c r="AE401" s="1"/>
      <c r="AF401" s="1"/>
      <c r="AG401" s="1"/>
      <c r="AH401" s="1"/>
      <c r="AI401" s="1"/>
      <c r="AJ401" s="1"/>
      <c r="AK401" s="1"/>
    </row>
    <row r="402" ht="30.0" customHeight="1">
      <c r="A402" s="1"/>
      <c r="B402" s="1"/>
      <c r="C402" s="2"/>
      <c r="D402" s="2"/>
      <c r="E402" s="2"/>
      <c r="F402" s="2"/>
      <c r="G402" s="2"/>
      <c r="H402" s="2"/>
      <c r="I402" s="2"/>
      <c r="J402" s="2"/>
      <c r="K402" s="2"/>
      <c r="L402" s="2"/>
      <c r="M402" s="2"/>
      <c r="N402" s="1"/>
      <c r="O402" s="2"/>
      <c r="P402" s="2"/>
      <c r="Q402" s="2"/>
      <c r="R402" s="2"/>
      <c r="S402" s="2"/>
      <c r="T402" s="2"/>
      <c r="U402" s="2"/>
      <c r="V402" s="2"/>
      <c r="W402" s="2"/>
      <c r="X402" s="2"/>
      <c r="Y402" s="2"/>
      <c r="Z402" s="1"/>
      <c r="AA402" s="1"/>
      <c r="AB402" s="1"/>
      <c r="AC402" s="1"/>
      <c r="AD402" s="1"/>
      <c r="AE402" s="1"/>
      <c r="AF402" s="1"/>
      <c r="AG402" s="1"/>
      <c r="AH402" s="1"/>
      <c r="AI402" s="1"/>
      <c r="AJ402" s="1"/>
      <c r="AK402" s="1"/>
    </row>
    <row r="403" ht="30.0" customHeight="1">
      <c r="A403" s="1"/>
      <c r="B403" s="1"/>
      <c r="C403" s="2"/>
      <c r="D403" s="2"/>
      <c r="E403" s="2"/>
      <c r="F403" s="2"/>
      <c r="G403" s="2"/>
      <c r="H403" s="2"/>
      <c r="I403" s="2"/>
      <c r="J403" s="2"/>
      <c r="K403" s="2"/>
      <c r="L403" s="2"/>
      <c r="M403" s="2"/>
      <c r="N403" s="1"/>
      <c r="O403" s="2"/>
      <c r="P403" s="2"/>
      <c r="Q403" s="2"/>
      <c r="R403" s="2"/>
      <c r="S403" s="2"/>
      <c r="T403" s="2"/>
      <c r="U403" s="2"/>
      <c r="V403" s="2"/>
      <c r="W403" s="2"/>
      <c r="X403" s="2"/>
      <c r="Y403" s="2"/>
      <c r="Z403" s="1"/>
      <c r="AA403" s="1"/>
      <c r="AB403" s="1"/>
      <c r="AC403" s="1"/>
      <c r="AD403" s="1"/>
      <c r="AE403" s="1"/>
      <c r="AF403" s="1"/>
      <c r="AG403" s="1"/>
      <c r="AH403" s="1"/>
      <c r="AI403" s="1"/>
      <c r="AJ403" s="1"/>
      <c r="AK403" s="1"/>
    </row>
    <row r="404" ht="30.0" customHeight="1">
      <c r="A404" s="1"/>
      <c r="B404" s="1"/>
      <c r="C404" s="2"/>
      <c r="D404" s="2"/>
      <c r="E404" s="2"/>
      <c r="F404" s="2"/>
      <c r="G404" s="2"/>
      <c r="H404" s="2"/>
      <c r="I404" s="2"/>
      <c r="J404" s="2"/>
      <c r="K404" s="2"/>
      <c r="L404" s="2"/>
      <c r="M404" s="2"/>
      <c r="N404" s="1"/>
      <c r="O404" s="2"/>
      <c r="P404" s="2"/>
      <c r="Q404" s="2"/>
      <c r="R404" s="2"/>
      <c r="S404" s="2"/>
      <c r="T404" s="2"/>
      <c r="U404" s="2"/>
      <c r="V404" s="2"/>
      <c r="W404" s="2"/>
      <c r="X404" s="2"/>
      <c r="Y404" s="2"/>
      <c r="Z404" s="1"/>
      <c r="AA404" s="1"/>
      <c r="AB404" s="1"/>
      <c r="AC404" s="1"/>
      <c r="AD404" s="1"/>
      <c r="AE404" s="1"/>
      <c r="AF404" s="1"/>
      <c r="AG404" s="1"/>
      <c r="AH404" s="1"/>
      <c r="AI404" s="1"/>
      <c r="AJ404" s="1"/>
      <c r="AK404" s="1"/>
    </row>
    <row r="405" ht="30.0" customHeight="1">
      <c r="A405" s="1"/>
      <c r="B405" s="1"/>
      <c r="C405" s="2"/>
      <c r="D405" s="2"/>
      <c r="E405" s="2"/>
      <c r="F405" s="2"/>
      <c r="G405" s="2"/>
      <c r="H405" s="2"/>
      <c r="I405" s="2"/>
      <c r="J405" s="2"/>
      <c r="K405" s="2"/>
      <c r="L405" s="2"/>
      <c r="M405" s="2"/>
      <c r="N405" s="1"/>
      <c r="O405" s="2"/>
      <c r="P405" s="2"/>
      <c r="Q405" s="2"/>
      <c r="R405" s="2"/>
      <c r="S405" s="2"/>
      <c r="T405" s="2"/>
      <c r="U405" s="2"/>
      <c r="V405" s="2"/>
      <c r="W405" s="2"/>
      <c r="X405" s="2"/>
      <c r="Y405" s="2"/>
      <c r="Z405" s="1"/>
      <c r="AA405" s="1"/>
      <c r="AB405" s="1"/>
      <c r="AC405" s="1"/>
      <c r="AD405" s="1"/>
      <c r="AE405" s="1"/>
      <c r="AF405" s="1"/>
      <c r="AG405" s="1"/>
      <c r="AH405" s="1"/>
      <c r="AI405" s="1"/>
      <c r="AJ405" s="1"/>
      <c r="AK405" s="1"/>
    </row>
    <row r="406" ht="30.0" customHeight="1">
      <c r="A406" s="1"/>
      <c r="B406" s="1"/>
      <c r="C406" s="2"/>
      <c r="D406" s="2"/>
      <c r="E406" s="2"/>
      <c r="F406" s="2"/>
      <c r="G406" s="2"/>
      <c r="H406" s="2"/>
      <c r="I406" s="2"/>
      <c r="J406" s="2"/>
      <c r="K406" s="2"/>
      <c r="L406" s="2"/>
      <c r="M406" s="2"/>
      <c r="N406" s="1"/>
      <c r="O406" s="2"/>
      <c r="P406" s="2"/>
      <c r="Q406" s="2"/>
      <c r="R406" s="2"/>
      <c r="S406" s="2"/>
      <c r="T406" s="2"/>
      <c r="U406" s="2"/>
      <c r="V406" s="2"/>
      <c r="W406" s="2"/>
      <c r="X406" s="2"/>
      <c r="Y406" s="2"/>
      <c r="Z406" s="1"/>
      <c r="AA406" s="1"/>
      <c r="AB406" s="1"/>
      <c r="AC406" s="1"/>
      <c r="AD406" s="1"/>
      <c r="AE406" s="1"/>
      <c r="AF406" s="1"/>
      <c r="AG406" s="1"/>
      <c r="AH406" s="1"/>
      <c r="AI406" s="1"/>
      <c r="AJ406" s="1"/>
      <c r="AK406" s="1"/>
    </row>
    <row r="407" ht="30.0" customHeight="1">
      <c r="A407" s="1"/>
      <c r="B407" s="1"/>
      <c r="C407" s="2"/>
      <c r="D407" s="2"/>
      <c r="E407" s="2"/>
      <c r="F407" s="2"/>
      <c r="G407" s="2"/>
      <c r="H407" s="2"/>
      <c r="I407" s="2"/>
      <c r="J407" s="2"/>
      <c r="K407" s="2"/>
      <c r="L407" s="2"/>
      <c r="M407" s="2"/>
      <c r="N407" s="1"/>
      <c r="O407" s="2"/>
      <c r="P407" s="2"/>
      <c r="Q407" s="2"/>
      <c r="R407" s="2"/>
      <c r="S407" s="2"/>
      <c r="T407" s="2"/>
      <c r="U407" s="2"/>
      <c r="V407" s="2"/>
      <c r="W407" s="2"/>
      <c r="X407" s="2"/>
      <c r="Y407" s="2"/>
      <c r="Z407" s="1"/>
      <c r="AA407" s="1"/>
      <c r="AB407" s="1"/>
      <c r="AC407" s="1"/>
      <c r="AD407" s="1"/>
      <c r="AE407" s="1"/>
      <c r="AF407" s="1"/>
      <c r="AG407" s="1"/>
      <c r="AH407" s="1"/>
      <c r="AI407" s="1"/>
      <c r="AJ407" s="1"/>
      <c r="AK407" s="1"/>
    </row>
    <row r="408" ht="30.0" customHeight="1">
      <c r="A408" s="1"/>
      <c r="B408" s="1"/>
      <c r="C408" s="2"/>
      <c r="D408" s="2"/>
      <c r="E408" s="2"/>
      <c r="F408" s="2"/>
      <c r="G408" s="2"/>
      <c r="H408" s="2"/>
      <c r="I408" s="2"/>
      <c r="J408" s="2"/>
      <c r="K408" s="2"/>
      <c r="L408" s="2"/>
      <c r="M408" s="2"/>
      <c r="N408" s="1"/>
      <c r="O408" s="2"/>
      <c r="P408" s="2"/>
      <c r="Q408" s="2"/>
      <c r="R408" s="2"/>
      <c r="S408" s="2"/>
      <c r="T408" s="2"/>
      <c r="U408" s="2"/>
      <c r="V408" s="2"/>
      <c r="W408" s="2"/>
      <c r="X408" s="2"/>
      <c r="Y408" s="2"/>
      <c r="Z408" s="1"/>
      <c r="AA408" s="1"/>
      <c r="AB408" s="1"/>
      <c r="AC408" s="1"/>
      <c r="AD408" s="1"/>
      <c r="AE408" s="1"/>
      <c r="AF408" s="1"/>
      <c r="AG408" s="1"/>
      <c r="AH408" s="1"/>
      <c r="AI408" s="1"/>
      <c r="AJ408" s="1"/>
      <c r="AK408" s="1"/>
    </row>
    <row r="409" ht="30.0" customHeight="1">
      <c r="A409" s="1"/>
      <c r="B409" s="1"/>
      <c r="C409" s="2"/>
      <c r="D409" s="2"/>
      <c r="E409" s="2"/>
      <c r="F409" s="2"/>
      <c r="G409" s="2"/>
      <c r="H409" s="2"/>
      <c r="I409" s="2"/>
      <c r="J409" s="2"/>
      <c r="K409" s="2"/>
      <c r="L409" s="2"/>
      <c r="M409" s="2"/>
      <c r="N409" s="1"/>
      <c r="O409" s="2"/>
      <c r="P409" s="2"/>
      <c r="Q409" s="2"/>
      <c r="R409" s="2"/>
      <c r="S409" s="2"/>
      <c r="T409" s="2"/>
      <c r="U409" s="2"/>
      <c r="V409" s="2"/>
      <c r="W409" s="2"/>
      <c r="X409" s="2"/>
      <c r="Y409" s="2"/>
      <c r="Z409" s="1"/>
      <c r="AA409" s="1"/>
      <c r="AB409" s="1"/>
      <c r="AC409" s="1"/>
      <c r="AD409" s="1"/>
      <c r="AE409" s="1"/>
      <c r="AF409" s="1"/>
      <c r="AG409" s="1"/>
      <c r="AH409" s="1"/>
      <c r="AI409" s="1"/>
      <c r="AJ409" s="1"/>
      <c r="AK409" s="1"/>
    </row>
    <row r="410" ht="30.0" customHeight="1">
      <c r="A410" s="1"/>
      <c r="B410" s="1"/>
      <c r="C410" s="2"/>
      <c r="D410" s="2"/>
      <c r="E410" s="2"/>
      <c r="F410" s="2"/>
      <c r="G410" s="2"/>
      <c r="H410" s="2"/>
      <c r="I410" s="2"/>
      <c r="J410" s="2"/>
      <c r="K410" s="2"/>
      <c r="L410" s="2"/>
      <c r="M410" s="2"/>
      <c r="N410" s="1"/>
      <c r="O410" s="2"/>
      <c r="P410" s="2"/>
      <c r="Q410" s="2"/>
      <c r="R410" s="2"/>
      <c r="S410" s="2"/>
      <c r="T410" s="2"/>
      <c r="U410" s="2"/>
      <c r="V410" s="2"/>
      <c r="W410" s="2"/>
      <c r="X410" s="2"/>
      <c r="Y410" s="2"/>
      <c r="Z410" s="1"/>
      <c r="AA410" s="1"/>
      <c r="AB410" s="1"/>
      <c r="AC410" s="1"/>
      <c r="AD410" s="1"/>
      <c r="AE410" s="1"/>
      <c r="AF410" s="1"/>
      <c r="AG410" s="1"/>
      <c r="AH410" s="1"/>
      <c r="AI410" s="1"/>
      <c r="AJ410" s="1"/>
      <c r="AK410" s="1"/>
    </row>
    <row r="411" ht="30.0" customHeight="1">
      <c r="A411" s="1"/>
      <c r="B411" s="1"/>
      <c r="C411" s="2"/>
      <c r="D411" s="2"/>
      <c r="E411" s="2"/>
      <c r="F411" s="2"/>
      <c r="G411" s="2"/>
      <c r="H411" s="2"/>
      <c r="I411" s="2"/>
      <c r="J411" s="2"/>
      <c r="K411" s="2"/>
      <c r="L411" s="2"/>
      <c r="M411" s="2"/>
      <c r="N411" s="1"/>
      <c r="O411" s="2"/>
      <c r="P411" s="2"/>
      <c r="Q411" s="2"/>
      <c r="R411" s="2"/>
      <c r="S411" s="2"/>
      <c r="T411" s="2"/>
      <c r="U411" s="2"/>
      <c r="V411" s="2"/>
      <c r="W411" s="2"/>
      <c r="X411" s="2"/>
      <c r="Y411" s="2"/>
      <c r="Z411" s="1"/>
      <c r="AA411" s="1"/>
      <c r="AB411" s="1"/>
      <c r="AC411" s="1"/>
      <c r="AD411" s="1"/>
      <c r="AE411" s="1"/>
      <c r="AF411" s="1"/>
      <c r="AG411" s="1"/>
      <c r="AH411" s="1"/>
      <c r="AI411" s="1"/>
      <c r="AJ411" s="1"/>
      <c r="AK411" s="1"/>
    </row>
    <row r="412" ht="30.0" customHeight="1">
      <c r="A412" s="1"/>
      <c r="B412" s="1"/>
      <c r="C412" s="2"/>
      <c r="D412" s="2"/>
      <c r="E412" s="2"/>
      <c r="F412" s="2"/>
      <c r="G412" s="2"/>
      <c r="H412" s="2"/>
      <c r="I412" s="2"/>
      <c r="J412" s="2"/>
      <c r="K412" s="2"/>
      <c r="L412" s="2"/>
      <c r="M412" s="2"/>
      <c r="N412" s="1"/>
      <c r="O412" s="2"/>
      <c r="P412" s="2"/>
      <c r="Q412" s="2"/>
      <c r="R412" s="2"/>
      <c r="S412" s="2"/>
      <c r="T412" s="2"/>
      <c r="U412" s="2"/>
      <c r="V412" s="2"/>
      <c r="W412" s="2"/>
      <c r="X412" s="2"/>
      <c r="Y412" s="2"/>
      <c r="Z412" s="1"/>
      <c r="AA412" s="1"/>
      <c r="AB412" s="1"/>
      <c r="AC412" s="1"/>
      <c r="AD412" s="1"/>
      <c r="AE412" s="1"/>
      <c r="AF412" s="1"/>
      <c r="AG412" s="1"/>
      <c r="AH412" s="1"/>
      <c r="AI412" s="1"/>
      <c r="AJ412" s="1"/>
      <c r="AK412" s="1"/>
    </row>
    <row r="413" ht="30.0" customHeight="1">
      <c r="A413" s="1"/>
      <c r="B413" s="1"/>
      <c r="C413" s="2"/>
      <c r="D413" s="2"/>
      <c r="E413" s="2"/>
      <c r="F413" s="2"/>
      <c r="G413" s="2"/>
      <c r="H413" s="2"/>
      <c r="I413" s="2"/>
      <c r="J413" s="2"/>
      <c r="K413" s="2"/>
      <c r="L413" s="2"/>
      <c r="M413" s="2"/>
      <c r="N413" s="1"/>
      <c r="O413" s="2"/>
      <c r="P413" s="2"/>
      <c r="Q413" s="2"/>
      <c r="R413" s="2"/>
      <c r="S413" s="2"/>
      <c r="T413" s="2"/>
      <c r="U413" s="2"/>
      <c r="V413" s="2"/>
      <c r="W413" s="2"/>
      <c r="X413" s="2"/>
      <c r="Y413" s="2"/>
      <c r="Z413" s="1"/>
      <c r="AA413" s="1"/>
      <c r="AB413" s="1"/>
      <c r="AC413" s="1"/>
      <c r="AD413" s="1"/>
      <c r="AE413" s="1"/>
      <c r="AF413" s="1"/>
      <c r="AG413" s="1"/>
      <c r="AH413" s="1"/>
      <c r="AI413" s="1"/>
      <c r="AJ413" s="1"/>
      <c r="AK413" s="1"/>
    </row>
    <row r="414" ht="30.0" customHeight="1">
      <c r="A414" s="1"/>
      <c r="B414" s="1"/>
      <c r="C414" s="2"/>
      <c r="D414" s="2"/>
      <c r="E414" s="2"/>
      <c r="F414" s="2"/>
      <c r="G414" s="2"/>
      <c r="H414" s="2"/>
      <c r="I414" s="2"/>
      <c r="J414" s="2"/>
      <c r="K414" s="2"/>
      <c r="L414" s="2"/>
      <c r="M414" s="2"/>
      <c r="N414" s="1"/>
      <c r="O414" s="2"/>
      <c r="P414" s="2"/>
      <c r="Q414" s="2"/>
      <c r="R414" s="2"/>
      <c r="S414" s="2"/>
      <c r="T414" s="2"/>
      <c r="U414" s="2"/>
      <c r="V414" s="2"/>
      <c r="W414" s="2"/>
      <c r="X414" s="2"/>
      <c r="Y414" s="2"/>
      <c r="Z414" s="1"/>
      <c r="AA414" s="1"/>
      <c r="AB414" s="1"/>
      <c r="AC414" s="1"/>
      <c r="AD414" s="1"/>
      <c r="AE414" s="1"/>
      <c r="AF414" s="1"/>
      <c r="AG414" s="1"/>
      <c r="AH414" s="1"/>
      <c r="AI414" s="1"/>
      <c r="AJ414" s="1"/>
      <c r="AK414" s="1"/>
    </row>
    <row r="415" ht="30.0" customHeight="1">
      <c r="A415" s="1"/>
      <c r="B415" s="1"/>
      <c r="C415" s="2"/>
      <c r="D415" s="2"/>
      <c r="E415" s="2"/>
      <c r="F415" s="2"/>
      <c r="G415" s="2"/>
      <c r="H415" s="2"/>
      <c r="I415" s="2"/>
      <c r="J415" s="2"/>
      <c r="K415" s="2"/>
      <c r="L415" s="2"/>
      <c r="M415" s="2"/>
      <c r="N415" s="1"/>
      <c r="O415" s="2"/>
      <c r="P415" s="2"/>
      <c r="Q415" s="2"/>
      <c r="R415" s="2"/>
      <c r="S415" s="2"/>
      <c r="T415" s="2"/>
      <c r="U415" s="2"/>
      <c r="V415" s="2"/>
      <c r="W415" s="2"/>
      <c r="X415" s="2"/>
      <c r="Y415" s="2"/>
      <c r="Z415" s="1"/>
      <c r="AA415" s="1"/>
      <c r="AB415" s="1"/>
      <c r="AC415" s="1"/>
      <c r="AD415" s="1"/>
      <c r="AE415" s="1"/>
      <c r="AF415" s="1"/>
      <c r="AG415" s="1"/>
      <c r="AH415" s="1"/>
      <c r="AI415" s="1"/>
      <c r="AJ415" s="1"/>
      <c r="AK415" s="1"/>
    </row>
    <row r="416" ht="30.0" customHeight="1">
      <c r="A416" s="1"/>
      <c r="B416" s="1"/>
      <c r="C416" s="2"/>
      <c r="D416" s="2"/>
      <c r="E416" s="2"/>
      <c r="F416" s="2"/>
      <c r="G416" s="2"/>
      <c r="H416" s="2"/>
      <c r="I416" s="2"/>
      <c r="J416" s="2"/>
      <c r="K416" s="2"/>
      <c r="L416" s="2"/>
      <c r="M416" s="2"/>
      <c r="N416" s="1"/>
      <c r="O416" s="2"/>
      <c r="P416" s="2"/>
      <c r="Q416" s="2"/>
      <c r="R416" s="2"/>
      <c r="S416" s="2"/>
      <c r="T416" s="2"/>
      <c r="U416" s="2"/>
      <c r="V416" s="2"/>
      <c r="W416" s="2"/>
      <c r="X416" s="2"/>
      <c r="Y416" s="2"/>
      <c r="Z416" s="1"/>
      <c r="AA416" s="1"/>
      <c r="AB416" s="1"/>
      <c r="AC416" s="1"/>
      <c r="AD416" s="1"/>
      <c r="AE416" s="1"/>
      <c r="AF416" s="1"/>
      <c r="AG416" s="1"/>
      <c r="AH416" s="1"/>
      <c r="AI416" s="1"/>
      <c r="AJ416" s="1"/>
      <c r="AK416" s="1"/>
    </row>
    <row r="417" ht="30.0" customHeight="1">
      <c r="A417" s="1"/>
      <c r="B417" s="1"/>
      <c r="C417" s="2"/>
      <c r="D417" s="2"/>
      <c r="E417" s="2"/>
      <c r="F417" s="2"/>
      <c r="G417" s="2"/>
      <c r="H417" s="2"/>
      <c r="I417" s="2"/>
      <c r="J417" s="2"/>
      <c r="K417" s="2"/>
      <c r="L417" s="2"/>
      <c r="M417" s="2"/>
      <c r="N417" s="1"/>
      <c r="O417" s="2"/>
      <c r="P417" s="2"/>
      <c r="Q417" s="2"/>
      <c r="R417" s="2"/>
      <c r="S417" s="2"/>
      <c r="T417" s="2"/>
      <c r="U417" s="2"/>
      <c r="V417" s="2"/>
      <c r="W417" s="2"/>
      <c r="X417" s="2"/>
      <c r="Y417" s="2"/>
      <c r="Z417" s="1"/>
      <c r="AA417" s="1"/>
      <c r="AB417" s="1"/>
      <c r="AC417" s="1"/>
      <c r="AD417" s="1"/>
      <c r="AE417" s="1"/>
      <c r="AF417" s="1"/>
      <c r="AG417" s="1"/>
      <c r="AH417" s="1"/>
      <c r="AI417" s="1"/>
      <c r="AJ417" s="1"/>
      <c r="AK417" s="1"/>
    </row>
    <row r="418" ht="30.0" customHeight="1">
      <c r="A418" s="1"/>
      <c r="B418" s="1"/>
      <c r="C418" s="2"/>
      <c r="D418" s="2"/>
      <c r="E418" s="2"/>
      <c r="F418" s="2"/>
      <c r="G418" s="2"/>
      <c r="H418" s="2"/>
      <c r="I418" s="2"/>
      <c r="J418" s="2"/>
      <c r="K418" s="2"/>
      <c r="L418" s="2"/>
      <c r="M418" s="2"/>
      <c r="N418" s="1"/>
      <c r="O418" s="2"/>
      <c r="P418" s="2"/>
      <c r="Q418" s="2"/>
      <c r="R418" s="2"/>
      <c r="S418" s="2"/>
      <c r="T418" s="2"/>
      <c r="U418" s="2"/>
      <c r="V418" s="2"/>
      <c r="W418" s="2"/>
      <c r="X418" s="2"/>
      <c r="Y418" s="2"/>
      <c r="Z418" s="1"/>
      <c r="AA418" s="1"/>
      <c r="AB418" s="1"/>
      <c r="AC418" s="1"/>
      <c r="AD418" s="1"/>
      <c r="AE418" s="1"/>
      <c r="AF418" s="1"/>
      <c r="AG418" s="1"/>
      <c r="AH418" s="1"/>
      <c r="AI418" s="1"/>
      <c r="AJ418" s="1"/>
      <c r="AK418" s="1"/>
    </row>
    <row r="419" ht="30.0" customHeight="1">
      <c r="A419" s="1"/>
      <c r="B419" s="1"/>
      <c r="C419" s="2"/>
      <c r="D419" s="2"/>
      <c r="E419" s="2"/>
      <c r="F419" s="2"/>
      <c r="G419" s="2"/>
      <c r="H419" s="2"/>
      <c r="I419" s="2"/>
      <c r="J419" s="2"/>
      <c r="K419" s="2"/>
      <c r="L419" s="2"/>
      <c r="M419" s="2"/>
      <c r="N419" s="1"/>
      <c r="O419" s="2"/>
      <c r="P419" s="2"/>
      <c r="Q419" s="2"/>
      <c r="R419" s="2"/>
      <c r="S419" s="2"/>
      <c r="T419" s="2"/>
      <c r="U419" s="2"/>
      <c r="V419" s="2"/>
      <c r="W419" s="2"/>
      <c r="X419" s="2"/>
      <c r="Y419" s="2"/>
      <c r="Z419" s="1"/>
      <c r="AA419" s="1"/>
      <c r="AB419" s="1"/>
      <c r="AC419" s="1"/>
      <c r="AD419" s="1"/>
      <c r="AE419" s="1"/>
      <c r="AF419" s="1"/>
      <c r="AG419" s="1"/>
      <c r="AH419" s="1"/>
      <c r="AI419" s="1"/>
      <c r="AJ419" s="1"/>
      <c r="AK419" s="1"/>
    </row>
    <row r="420" ht="30.0" customHeight="1">
      <c r="A420" s="1"/>
      <c r="B420" s="1"/>
      <c r="C420" s="2"/>
      <c r="D420" s="2"/>
      <c r="E420" s="2"/>
      <c r="F420" s="2"/>
      <c r="G420" s="2"/>
      <c r="H420" s="2"/>
      <c r="I420" s="2"/>
      <c r="J420" s="2"/>
      <c r="K420" s="2"/>
      <c r="L420" s="2"/>
      <c r="M420" s="2"/>
      <c r="N420" s="1"/>
      <c r="O420" s="2"/>
      <c r="P420" s="2"/>
      <c r="Q420" s="2"/>
      <c r="R420" s="2"/>
      <c r="S420" s="2"/>
      <c r="T420" s="2"/>
      <c r="U420" s="2"/>
      <c r="V420" s="2"/>
      <c r="W420" s="2"/>
      <c r="X420" s="2"/>
      <c r="Y420" s="2"/>
      <c r="Z420" s="1"/>
      <c r="AA420" s="1"/>
      <c r="AB420" s="1"/>
      <c r="AC420" s="1"/>
      <c r="AD420" s="1"/>
      <c r="AE420" s="1"/>
      <c r="AF420" s="1"/>
      <c r="AG420" s="1"/>
      <c r="AH420" s="1"/>
      <c r="AI420" s="1"/>
      <c r="AJ420" s="1"/>
      <c r="AK420" s="1"/>
    </row>
    <row r="421" ht="30.0" customHeight="1">
      <c r="A421" s="1"/>
      <c r="B421" s="1"/>
      <c r="C421" s="2"/>
      <c r="D421" s="2"/>
      <c r="E421" s="2"/>
      <c r="F421" s="2"/>
      <c r="G421" s="2"/>
      <c r="H421" s="2"/>
      <c r="I421" s="2"/>
      <c r="J421" s="2"/>
      <c r="K421" s="2"/>
      <c r="L421" s="2"/>
      <c r="M421" s="2"/>
      <c r="N421" s="1"/>
      <c r="O421" s="2"/>
      <c r="P421" s="2"/>
      <c r="Q421" s="2"/>
      <c r="R421" s="2"/>
      <c r="S421" s="2"/>
      <c r="T421" s="2"/>
      <c r="U421" s="2"/>
      <c r="V421" s="2"/>
      <c r="W421" s="2"/>
      <c r="X421" s="2"/>
      <c r="Y421" s="2"/>
      <c r="Z421" s="1"/>
      <c r="AA421" s="1"/>
      <c r="AB421" s="1"/>
      <c r="AC421" s="1"/>
      <c r="AD421" s="1"/>
      <c r="AE421" s="1"/>
      <c r="AF421" s="1"/>
      <c r="AG421" s="1"/>
      <c r="AH421" s="1"/>
      <c r="AI421" s="1"/>
      <c r="AJ421" s="1"/>
      <c r="AK421" s="1"/>
    </row>
    <row r="422" ht="30.0" customHeight="1">
      <c r="A422" s="1"/>
      <c r="B422" s="1"/>
      <c r="C422" s="2"/>
      <c r="D422" s="2"/>
      <c r="E422" s="2"/>
      <c r="F422" s="2"/>
      <c r="G422" s="2"/>
      <c r="H422" s="2"/>
      <c r="I422" s="2"/>
      <c r="J422" s="2"/>
      <c r="K422" s="2"/>
      <c r="L422" s="2"/>
      <c r="M422" s="2"/>
      <c r="N422" s="1"/>
      <c r="O422" s="2"/>
      <c r="P422" s="2"/>
      <c r="Q422" s="2"/>
      <c r="R422" s="2"/>
      <c r="S422" s="2"/>
      <c r="T422" s="2"/>
      <c r="U422" s="2"/>
      <c r="V422" s="2"/>
      <c r="W422" s="2"/>
      <c r="X422" s="2"/>
      <c r="Y422" s="2"/>
      <c r="Z422" s="1"/>
      <c r="AA422" s="1"/>
      <c r="AB422" s="1"/>
      <c r="AC422" s="1"/>
      <c r="AD422" s="1"/>
      <c r="AE422" s="1"/>
      <c r="AF422" s="1"/>
      <c r="AG422" s="1"/>
      <c r="AH422" s="1"/>
      <c r="AI422" s="1"/>
      <c r="AJ422" s="1"/>
      <c r="AK422" s="1"/>
    </row>
    <row r="423" ht="30.0" customHeight="1">
      <c r="A423" s="1"/>
      <c r="B423" s="1"/>
      <c r="C423" s="2"/>
      <c r="D423" s="2"/>
      <c r="E423" s="2"/>
      <c r="F423" s="2"/>
      <c r="G423" s="2"/>
      <c r="H423" s="2"/>
      <c r="I423" s="2"/>
      <c r="J423" s="2"/>
      <c r="K423" s="2"/>
      <c r="L423" s="2"/>
      <c r="M423" s="2"/>
      <c r="N423" s="1"/>
      <c r="O423" s="2"/>
      <c r="P423" s="2"/>
      <c r="Q423" s="2"/>
      <c r="R423" s="2"/>
      <c r="S423" s="2"/>
      <c r="T423" s="2"/>
      <c r="U423" s="2"/>
      <c r="V423" s="2"/>
      <c r="W423" s="2"/>
      <c r="X423" s="2"/>
      <c r="Y423" s="2"/>
      <c r="Z423" s="1"/>
      <c r="AA423" s="1"/>
      <c r="AB423" s="1"/>
      <c r="AC423" s="1"/>
      <c r="AD423" s="1"/>
      <c r="AE423" s="1"/>
      <c r="AF423" s="1"/>
      <c r="AG423" s="1"/>
      <c r="AH423" s="1"/>
      <c r="AI423" s="1"/>
      <c r="AJ423" s="1"/>
      <c r="AK423" s="1"/>
    </row>
    <row r="424" ht="30.0" customHeight="1">
      <c r="A424" s="1"/>
      <c r="B424" s="1"/>
      <c r="C424" s="2"/>
      <c r="D424" s="2"/>
      <c r="E424" s="2"/>
      <c r="F424" s="2"/>
      <c r="G424" s="2"/>
      <c r="H424" s="2"/>
      <c r="I424" s="2"/>
      <c r="J424" s="2"/>
      <c r="K424" s="2"/>
      <c r="L424" s="2"/>
      <c r="M424" s="2"/>
      <c r="N424" s="1"/>
      <c r="O424" s="2"/>
      <c r="P424" s="2"/>
      <c r="Q424" s="2"/>
      <c r="R424" s="2"/>
      <c r="S424" s="2"/>
      <c r="T424" s="2"/>
      <c r="U424" s="2"/>
      <c r="V424" s="2"/>
      <c r="W424" s="2"/>
      <c r="X424" s="2"/>
      <c r="Y424" s="2"/>
      <c r="Z424" s="1"/>
      <c r="AA424" s="1"/>
      <c r="AB424" s="1"/>
      <c r="AC424" s="1"/>
      <c r="AD424" s="1"/>
      <c r="AE424" s="1"/>
      <c r="AF424" s="1"/>
      <c r="AG424" s="1"/>
      <c r="AH424" s="1"/>
      <c r="AI424" s="1"/>
      <c r="AJ424" s="1"/>
      <c r="AK424" s="1"/>
    </row>
    <row r="425" ht="30.0" customHeight="1">
      <c r="A425" s="1"/>
      <c r="B425" s="1"/>
      <c r="C425" s="2"/>
      <c r="D425" s="2"/>
      <c r="E425" s="2"/>
      <c r="F425" s="2"/>
      <c r="G425" s="2"/>
      <c r="H425" s="2"/>
      <c r="I425" s="2"/>
      <c r="J425" s="2"/>
      <c r="K425" s="2"/>
      <c r="L425" s="2"/>
      <c r="M425" s="2"/>
      <c r="N425" s="1"/>
      <c r="O425" s="2"/>
      <c r="P425" s="2"/>
      <c r="Q425" s="2"/>
      <c r="R425" s="2"/>
      <c r="S425" s="2"/>
      <c r="T425" s="2"/>
      <c r="U425" s="2"/>
      <c r="V425" s="2"/>
      <c r="W425" s="2"/>
      <c r="X425" s="2"/>
      <c r="Y425" s="2"/>
      <c r="Z425" s="1"/>
      <c r="AA425" s="1"/>
      <c r="AB425" s="1"/>
      <c r="AC425" s="1"/>
      <c r="AD425" s="1"/>
      <c r="AE425" s="1"/>
      <c r="AF425" s="1"/>
      <c r="AG425" s="1"/>
      <c r="AH425" s="1"/>
      <c r="AI425" s="1"/>
      <c r="AJ425" s="1"/>
      <c r="AK425" s="1"/>
    </row>
    <row r="426" ht="30.0" customHeight="1">
      <c r="A426" s="1"/>
      <c r="B426" s="1"/>
      <c r="C426" s="2"/>
      <c r="D426" s="2"/>
      <c r="E426" s="2"/>
      <c r="F426" s="2"/>
      <c r="G426" s="2"/>
      <c r="H426" s="2"/>
      <c r="I426" s="2"/>
      <c r="J426" s="2"/>
      <c r="K426" s="2"/>
      <c r="L426" s="2"/>
      <c r="M426" s="2"/>
      <c r="N426" s="1"/>
      <c r="O426" s="2"/>
      <c r="P426" s="2"/>
      <c r="Q426" s="2"/>
      <c r="R426" s="2"/>
      <c r="S426" s="2"/>
      <c r="T426" s="2"/>
      <c r="U426" s="2"/>
      <c r="V426" s="2"/>
      <c r="W426" s="2"/>
      <c r="X426" s="2"/>
      <c r="Y426" s="2"/>
      <c r="Z426" s="1"/>
      <c r="AA426" s="1"/>
      <c r="AB426" s="1"/>
      <c r="AC426" s="1"/>
      <c r="AD426" s="1"/>
      <c r="AE426" s="1"/>
      <c r="AF426" s="1"/>
      <c r="AG426" s="1"/>
      <c r="AH426" s="1"/>
      <c r="AI426" s="1"/>
      <c r="AJ426" s="1"/>
      <c r="AK426" s="1"/>
    </row>
    <row r="427" ht="30.0" customHeight="1">
      <c r="A427" s="1"/>
      <c r="B427" s="1"/>
      <c r="C427" s="2"/>
      <c r="D427" s="2"/>
      <c r="E427" s="2"/>
      <c r="F427" s="2"/>
      <c r="G427" s="2"/>
      <c r="H427" s="2"/>
      <c r="I427" s="2"/>
      <c r="J427" s="2"/>
      <c r="K427" s="2"/>
      <c r="L427" s="2"/>
      <c r="M427" s="2"/>
      <c r="N427" s="1"/>
      <c r="O427" s="2"/>
      <c r="P427" s="2"/>
      <c r="Q427" s="2"/>
      <c r="R427" s="2"/>
      <c r="S427" s="2"/>
      <c r="T427" s="2"/>
      <c r="U427" s="2"/>
      <c r="V427" s="2"/>
      <c r="W427" s="2"/>
      <c r="X427" s="2"/>
      <c r="Y427" s="2"/>
      <c r="Z427" s="1"/>
      <c r="AA427" s="1"/>
      <c r="AB427" s="1"/>
      <c r="AC427" s="1"/>
      <c r="AD427" s="1"/>
      <c r="AE427" s="1"/>
      <c r="AF427" s="1"/>
      <c r="AG427" s="1"/>
      <c r="AH427" s="1"/>
      <c r="AI427" s="1"/>
      <c r="AJ427" s="1"/>
      <c r="AK427" s="1"/>
    </row>
    <row r="428" ht="30.0" customHeight="1">
      <c r="A428" s="1"/>
      <c r="B428" s="1"/>
      <c r="C428" s="2"/>
      <c r="D428" s="2"/>
      <c r="E428" s="2"/>
      <c r="F428" s="2"/>
      <c r="G428" s="2"/>
      <c r="H428" s="2"/>
      <c r="I428" s="2"/>
      <c r="J428" s="2"/>
      <c r="K428" s="2"/>
      <c r="L428" s="2"/>
      <c r="M428" s="2"/>
      <c r="N428" s="1"/>
      <c r="O428" s="2"/>
      <c r="P428" s="2"/>
      <c r="Q428" s="2"/>
      <c r="R428" s="2"/>
      <c r="S428" s="2"/>
      <c r="T428" s="2"/>
      <c r="U428" s="2"/>
      <c r="V428" s="2"/>
      <c r="W428" s="2"/>
      <c r="X428" s="2"/>
      <c r="Y428" s="2"/>
      <c r="Z428" s="1"/>
      <c r="AA428" s="1"/>
      <c r="AB428" s="1"/>
      <c r="AC428" s="1"/>
      <c r="AD428" s="1"/>
      <c r="AE428" s="1"/>
      <c r="AF428" s="1"/>
      <c r="AG428" s="1"/>
      <c r="AH428" s="1"/>
      <c r="AI428" s="1"/>
      <c r="AJ428" s="1"/>
      <c r="AK428" s="1"/>
    </row>
    <row r="429" ht="30.0" customHeight="1">
      <c r="A429" s="1"/>
      <c r="B429" s="1"/>
      <c r="C429" s="2"/>
      <c r="D429" s="2"/>
      <c r="E429" s="2"/>
      <c r="F429" s="2"/>
      <c r="G429" s="2"/>
      <c r="H429" s="2"/>
      <c r="I429" s="2"/>
      <c r="J429" s="2"/>
      <c r="K429" s="2"/>
      <c r="L429" s="2"/>
      <c r="M429" s="2"/>
      <c r="N429" s="1"/>
      <c r="O429" s="2"/>
      <c r="P429" s="2"/>
      <c r="Q429" s="2"/>
      <c r="R429" s="2"/>
      <c r="S429" s="2"/>
      <c r="T429" s="2"/>
      <c r="U429" s="2"/>
      <c r="V429" s="2"/>
      <c r="W429" s="2"/>
      <c r="X429" s="2"/>
      <c r="Y429" s="2"/>
      <c r="Z429" s="1"/>
      <c r="AA429" s="1"/>
      <c r="AB429" s="1"/>
      <c r="AC429" s="1"/>
      <c r="AD429" s="1"/>
      <c r="AE429" s="1"/>
      <c r="AF429" s="1"/>
      <c r="AG429" s="1"/>
      <c r="AH429" s="1"/>
      <c r="AI429" s="1"/>
      <c r="AJ429" s="1"/>
      <c r="AK429" s="1"/>
    </row>
    <row r="430" ht="30.0" customHeight="1">
      <c r="A430" s="1"/>
      <c r="B430" s="1"/>
      <c r="C430" s="2"/>
      <c r="D430" s="2"/>
      <c r="E430" s="2"/>
      <c r="F430" s="2"/>
      <c r="G430" s="2"/>
      <c r="H430" s="2"/>
      <c r="I430" s="2"/>
      <c r="J430" s="2"/>
      <c r="K430" s="2"/>
      <c r="L430" s="2"/>
      <c r="M430" s="2"/>
      <c r="N430" s="1"/>
      <c r="O430" s="2"/>
      <c r="P430" s="2"/>
      <c r="Q430" s="2"/>
      <c r="R430" s="2"/>
      <c r="S430" s="2"/>
      <c r="T430" s="2"/>
      <c r="U430" s="2"/>
      <c r="V430" s="2"/>
      <c r="W430" s="2"/>
      <c r="X430" s="2"/>
      <c r="Y430" s="2"/>
      <c r="Z430" s="1"/>
      <c r="AA430" s="1"/>
      <c r="AB430" s="1"/>
      <c r="AC430" s="1"/>
      <c r="AD430" s="1"/>
      <c r="AE430" s="1"/>
      <c r="AF430" s="1"/>
      <c r="AG430" s="1"/>
      <c r="AH430" s="1"/>
      <c r="AI430" s="1"/>
      <c r="AJ430" s="1"/>
      <c r="AK430" s="1"/>
    </row>
    <row r="431" ht="30.0" customHeight="1">
      <c r="A431" s="1"/>
      <c r="B431" s="1"/>
      <c r="C431" s="2"/>
      <c r="D431" s="2"/>
      <c r="E431" s="2"/>
      <c r="F431" s="2"/>
      <c r="G431" s="2"/>
      <c r="H431" s="2"/>
      <c r="I431" s="2"/>
      <c r="J431" s="2"/>
      <c r="K431" s="2"/>
      <c r="L431" s="2"/>
      <c r="M431" s="2"/>
      <c r="N431" s="1"/>
      <c r="O431" s="2"/>
      <c r="P431" s="2"/>
      <c r="Q431" s="2"/>
      <c r="R431" s="2"/>
      <c r="S431" s="2"/>
      <c r="T431" s="2"/>
      <c r="U431" s="2"/>
      <c r="V431" s="2"/>
      <c r="W431" s="2"/>
      <c r="X431" s="2"/>
      <c r="Y431" s="2"/>
      <c r="Z431" s="1"/>
      <c r="AA431" s="1"/>
      <c r="AB431" s="1"/>
      <c r="AC431" s="1"/>
      <c r="AD431" s="1"/>
      <c r="AE431" s="1"/>
      <c r="AF431" s="1"/>
      <c r="AG431" s="1"/>
      <c r="AH431" s="1"/>
      <c r="AI431" s="1"/>
      <c r="AJ431" s="1"/>
      <c r="AK431" s="1"/>
    </row>
    <row r="432" ht="30.0" customHeight="1">
      <c r="A432" s="1"/>
      <c r="B432" s="1"/>
      <c r="C432" s="2"/>
      <c r="D432" s="2"/>
      <c r="E432" s="2"/>
      <c r="F432" s="2"/>
      <c r="G432" s="2"/>
      <c r="H432" s="2"/>
      <c r="I432" s="2"/>
      <c r="J432" s="2"/>
      <c r="K432" s="2"/>
      <c r="L432" s="2"/>
      <c r="M432" s="2"/>
      <c r="N432" s="1"/>
      <c r="O432" s="2"/>
      <c r="P432" s="2"/>
      <c r="Q432" s="2"/>
      <c r="R432" s="2"/>
      <c r="S432" s="2"/>
      <c r="T432" s="2"/>
      <c r="U432" s="2"/>
      <c r="V432" s="2"/>
      <c r="W432" s="2"/>
      <c r="X432" s="2"/>
      <c r="Y432" s="2"/>
      <c r="Z432" s="1"/>
      <c r="AA432" s="1"/>
      <c r="AB432" s="1"/>
      <c r="AC432" s="1"/>
      <c r="AD432" s="1"/>
      <c r="AE432" s="1"/>
      <c r="AF432" s="1"/>
      <c r="AG432" s="1"/>
      <c r="AH432" s="1"/>
      <c r="AI432" s="1"/>
      <c r="AJ432" s="1"/>
      <c r="AK432" s="1"/>
    </row>
    <row r="433" ht="30.0" customHeight="1">
      <c r="A433" s="1"/>
      <c r="B433" s="1"/>
      <c r="C433" s="2"/>
      <c r="D433" s="2"/>
      <c r="E433" s="2"/>
      <c r="F433" s="2"/>
      <c r="G433" s="2"/>
      <c r="H433" s="2"/>
      <c r="I433" s="2"/>
      <c r="J433" s="2"/>
      <c r="K433" s="2"/>
      <c r="L433" s="2"/>
      <c r="M433" s="2"/>
      <c r="N433" s="1"/>
      <c r="O433" s="2"/>
      <c r="P433" s="2"/>
      <c r="Q433" s="2"/>
      <c r="R433" s="2"/>
      <c r="S433" s="2"/>
      <c r="T433" s="2"/>
      <c r="U433" s="2"/>
      <c r="V433" s="2"/>
      <c r="W433" s="2"/>
      <c r="X433" s="2"/>
      <c r="Y433" s="2"/>
      <c r="Z433" s="1"/>
      <c r="AA433" s="1"/>
      <c r="AB433" s="1"/>
      <c r="AC433" s="1"/>
      <c r="AD433" s="1"/>
      <c r="AE433" s="1"/>
      <c r="AF433" s="1"/>
      <c r="AG433" s="1"/>
      <c r="AH433" s="1"/>
      <c r="AI433" s="1"/>
      <c r="AJ433" s="1"/>
      <c r="AK433" s="1"/>
    </row>
    <row r="434" ht="30.0" customHeight="1">
      <c r="A434" s="1"/>
      <c r="B434" s="1"/>
      <c r="C434" s="2"/>
      <c r="D434" s="2"/>
      <c r="E434" s="2"/>
      <c r="F434" s="2"/>
      <c r="G434" s="2"/>
      <c r="H434" s="2"/>
      <c r="I434" s="2"/>
      <c r="J434" s="2"/>
      <c r="K434" s="2"/>
      <c r="L434" s="2"/>
      <c r="M434" s="2"/>
      <c r="N434" s="1"/>
      <c r="O434" s="2"/>
      <c r="P434" s="2"/>
      <c r="Q434" s="2"/>
      <c r="R434" s="2"/>
      <c r="S434" s="2"/>
      <c r="T434" s="2"/>
      <c r="U434" s="2"/>
      <c r="V434" s="2"/>
      <c r="W434" s="2"/>
      <c r="X434" s="2"/>
      <c r="Y434" s="2"/>
      <c r="Z434" s="1"/>
      <c r="AA434" s="1"/>
      <c r="AB434" s="1"/>
      <c r="AC434" s="1"/>
      <c r="AD434" s="1"/>
      <c r="AE434" s="1"/>
      <c r="AF434" s="1"/>
      <c r="AG434" s="1"/>
      <c r="AH434" s="1"/>
      <c r="AI434" s="1"/>
      <c r="AJ434" s="1"/>
      <c r="AK434" s="1"/>
    </row>
    <row r="435" ht="30.0" customHeight="1">
      <c r="A435" s="1"/>
      <c r="B435" s="1"/>
      <c r="C435" s="2"/>
      <c r="D435" s="2"/>
      <c r="E435" s="2"/>
      <c r="F435" s="2"/>
      <c r="G435" s="2"/>
      <c r="H435" s="2"/>
      <c r="I435" s="2"/>
      <c r="J435" s="2"/>
      <c r="K435" s="2"/>
      <c r="L435" s="2"/>
      <c r="M435" s="2"/>
      <c r="N435" s="1"/>
      <c r="O435" s="2"/>
      <c r="P435" s="2"/>
      <c r="Q435" s="2"/>
      <c r="R435" s="2"/>
      <c r="S435" s="2"/>
      <c r="T435" s="2"/>
      <c r="U435" s="2"/>
      <c r="V435" s="2"/>
      <c r="W435" s="2"/>
      <c r="X435" s="2"/>
      <c r="Y435" s="2"/>
      <c r="Z435" s="1"/>
      <c r="AA435" s="1"/>
      <c r="AB435" s="1"/>
      <c r="AC435" s="1"/>
      <c r="AD435" s="1"/>
      <c r="AE435" s="1"/>
      <c r="AF435" s="1"/>
      <c r="AG435" s="1"/>
      <c r="AH435" s="1"/>
      <c r="AI435" s="1"/>
      <c r="AJ435" s="1"/>
      <c r="AK435" s="1"/>
    </row>
    <row r="436" ht="30.0" customHeight="1">
      <c r="A436" s="1"/>
      <c r="B436" s="1"/>
      <c r="C436" s="2"/>
      <c r="D436" s="2"/>
      <c r="E436" s="2"/>
      <c r="F436" s="2"/>
      <c r="G436" s="2"/>
      <c r="H436" s="2"/>
      <c r="I436" s="2"/>
      <c r="J436" s="2"/>
      <c r="K436" s="2"/>
      <c r="L436" s="2"/>
      <c r="M436" s="2"/>
      <c r="N436" s="1"/>
      <c r="O436" s="2"/>
      <c r="P436" s="2"/>
      <c r="Q436" s="2"/>
      <c r="R436" s="2"/>
      <c r="S436" s="2"/>
      <c r="T436" s="2"/>
      <c r="U436" s="2"/>
      <c r="V436" s="2"/>
      <c r="W436" s="2"/>
      <c r="X436" s="2"/>
      <c r="Y436" s="2"/>
      <c r="Z436" s="1"/>
      <c r="AA436" s="1"/>
      <c r="AB436" s="1"/>
      <c r="AC436" s="1"/>
      <c r="AD436" s="1"/>
      <c r="AE436" s="1"/>
      <c r="AF436" s="1"/>
      <c r="AG436" s="1"/>
      <c r="AH436" s="1"/>
      <c r="AI436" s="1"/>
      <c r="AJ436" s="1"/>
      <c r="AK436" s="1"/>
    </row>
    <row r="437" ht="30.0" customHeight="1">
      <c r="A437" s="1"/>
      <c r="B437" s="1"/>
      <c r="C437" s="2"/>
      <c r="D437" s="2"/>
      <c r="E437" s="2"/>
      <c r="F437" s="2"/>
      <c r="G437" s="2"/>
      <c r="H437" s="2"/>
      <c r="I437" s="2"/>
      <c r="J437" s="2"/>
      <c r="K437" s="2"/>
      <c r="L437" s="2"/>
      <c r="M437" s="2"/>
      <c r="N437" s="1"/>
      <c r="O437" s="2"/>
      <c r="P437" s="2"/>
      <c r="Q437" s="2"/>
      <c r="R437" s="2"/>
      <c r="S437" s="2"/>
      <c r="T437" s="2"/>
      <c r="U437" s="2"/>
      <c r="V437" s="2"/>
      <c r="W437" s="2"/>
      <c r="X437" s="2"/>
      <c r="Y437" s="2"/>
      <c r="Z437" s="1"/>
      <c r="AA437" s="1"/>
      <c r="AB437" s="1"/>
      <c r="AC437" s="1"/>
      <c r="AD437" s="1"/>
      <c r="AE437" s="1"/>
      <c r="AF437" s="1"/>
      <c r="AG437" s="1"/>
      <c r="AH437" s="1"/>
      <c r="AI437" s="1"/>
      <c r="AJ437" s="1"/>
      <c r="AK437" s="1"/>
    </row>
    <row r="438" ht="30.0" customHeight="1">
      <c r="A438" s="1"/>
      <c r="B438" s="1"/>
      <c r="C438" s="2"/>
      <c r="D438" s="2"/>
      <c r="E438" s="2"/>
      <c r="F438" s="2"/>
      <c r="G438" s="2"/>
      <c r="H438" s="2"/>
      <c r="I438" s="2"/>
      <c r="J438" s="2"/>
      <c r="K438" s="2"/>
      <c r="L438" s="2"/>
      <c r="M438" s="2"/>
      <c r="N438" s="1"/>
      <c r="O438" s="2"/>
      <c r="P438" s="2"/>
      <c r="Q438" s="2"/>
      <c r="R438" s="2"/>
      <c r="S438" s="2"/>
      <c r="T438" s="2"/>
      <c r="U438" s="2"/>
      <c r="V438" s="2"/>
      <c r="W438" s="2"/>
      <c r="X438" s="2"/>
      <c r="Y438" s="2"/>
      <c r="Z438" s="1"/>
      <c r="AA438" s="1"/>
      <c r="AB438" s="1"/>
      <c r="AC438" s="1"/>
      <c r="AD438" s="1"/>
      <c r="AE438" s="1"/>
      <c r="AF438" s="1"/>
      <c r="AG438" s="1"/>
      <c r="AH438" s="1"/>
      <c r="AI438" s="1"/>
      <c r="AJ438" s="1"/>
      <c r="AK438" s="1"/>
    </row>
    <row r="439" ht="30.0" customHeight="1">
      <c r="A439" s="1"/>
      <c r="B439" s="1"/>
      <c r="C439" s="2"/>
      <c r="D439" s="2"/>
      <c r="E439" s="2"/>
      <c r="F439" s="2"/>
      <c r="G439" s="2"/>
      <c r="H439" s="2"/>
      <c r="I439" s="2"/>
      <c r="J439" s="2"/>
      <c r="K439" s="2"/>
      <c r="L439" s="2"/>
      <c r="M439" s="2"/>
      <c r="N439" s="1"/>
      <c r="O439" s="2"/>
      <c r="P439" s="2"/>
      <c r="Q439" s="2"/>
      <c r="R439" s="2"/>
      <c r="S439" s="2"/>
      <c r="T439" s="2"/>
      <c r="U439" s="2"/>
      <c r="V439" s="2"/>
      <c r="W439" s="2"/>
      <c r="X439" s="2"/>
      <c r="Y439" s="2"/>
      <c r="Z439" s="1"/>
      <c r="AA439" s="1"/>
      <c r="AB439" s="1"/>
      <c r="AC439" s="1"/>
      <c r="AD439" s="1"/>
      <c r="AE439" s="1"/>
      <c r="AF439" s="1"/>
      <c r="AG439" s="1"/>
      <c r="AH439" s="1"/>
      <c r="AI439" s="1"/>
      <c r="AJ439" s="1"/>
      <c r="AK439" s="1"/>
    </row>
    <row r="440" ht="30.0" customHeight="1">
      <c r="A440" s="1"/>
      <c r="B440" s="1"/>
      <c r="C440" s="2"/>
      <c r="D440" s="2"/>
      <c r="E440" s="2"/>
      <c r="F440" s="2"/>
      <c r="G440" s="2"/>
      <c r="H440" s="2"/>
      <c r="I440" s="2"/>
      <c r="J440" s="2"/>
      <c r="K440" s="2"/>
      <c r="L440" s="2"/>
      <c r="M440" s="2"/>
      <c r="N440" s="1"/>
      <c r="O440" s="2"/>
      <c r="P440" s="2"/>
      <c r="Q440" s="2"/>
      <c r="R440" s="2"/>
      <c r="S440" s="2"/>
      <c r="T440" s="2"/>
      <c r="U440" s="2"/>
      <c r="V440" s="2"/>
      <c r="W440" s="2"/>
      <c r="X440" s="2"/>
      <c r="Y440" s="2"/>
      <c r="Z440" s="1"/>
      <c r="AA440" s="1"/>
      <c r="AB440" s="1"/>
      <c r="AC440" s="1"/>
      <c r="AD440" s="1"/>
      <c r="AE440" s="1"/>
      <c r="AF440" s="1"/>
      <c r="AG440" s="1"/>
      <c r="AH440" s="1"/>
      <c r="AI440" s="1"/>
      <c r="AJ440" s="1"/>
      <c r="AK440" s="1"/>
    </row>
    <row r="441" ht="30.0" customHeight="1">
      <c r="A441" s="1"/>
      <c r="B441" s="1"/>
      <c r="C441" s="2"/>
      <c r="D441" s="2"/>
      <c r="E441" s="2"/>
      <c r="F441" s="2"/>
      <c r="G441" s="2"/>
      <c r="H441" s="2"/>
      <c r="I441" s="2"/>
      <c r="J441" s="2"/>
      <c r="K441" s="2"/>
      <c r="L441" s="2"/>
      <c r="M441" s="2"/>
      <c r="N441" s="1"/>
      <c r="O441" s="2"/>
      <c r="P441" s="2"/>
      <c r="Q441" s="2"/>
      <c r="R441" s="2"/>
      <c r="S441" s="2"/>
      <c r="T441" s="2"/>
      <c r="U441" s="2"/>
      <c r="V441" s="2"/>
      <c r="W441" s="2"/>
      <c r="X441" s="2"/>
      <c r="Y441" s="2"/>
      <c r="Z441" s="1"/>
      <c r="AA441" s="1"/>
      <c r="AB441" s="1"/>
      <c r="AC441" s="1"/>
      <c r="AD441" s="1"/>
      <c r="AE441" s="1"/>
      <c r="AF441" s="1"/>
      <c r="AG441" s="1"/>
      <c r="AH441" s="1"/>
      <c r="AI441" s="1"/>
      <c r="AJ441" s="1"/>
      <c r="AK441" s="1"/>
    </row>
    <row r="442" ht="30.0" customHeight="1">
      <c r="A442" s="1"/>
      <c r="B442" s="1"/>
      <c r="C442" s="2"/>
      <c r="D442" s="2"/>
      <c r="E442" s="2"/>
      <c r="F442" s="2"/>
      <c r="G442" s="2"/>
      <c r="H442" s="2"/>
      <c r="I442" s="2"/>
      <c r="J442" s="2"/>
      <c r="K442" s="2"/>
      <c r="L442" s="2"/>
      <c r="M442" s="2"/>
      <c r="N442" s="1"/>
      <c r="O442" s="2"/>
      <c r="P442" s="2"/>
      <c r="Q442" s="2"/>
      <c r="R442" s="2"/>
      <c r="S442" s="2"/>
      <c r="T442" s="2"/>
      <c r="U442" s="2"/>
      <c r="V442" s="2"/>
      <c r="W442" s="2"/>
      <c r="X442" s="2"/>
      <c r="Y442" s="2"/>
      <c r="Z442" s="1"/>
      <c r="AA442" s="1"/>
      <c r="AB442" s="1"/>
      <c r="AC442" s="1"/>
      <c r="AD442" s="1"/>
      <c r="AE442" s="1"/>
      <c r="AF442" s="1"/>
      <c r="AG442" s="1"/>
      <c r="AH442" s="1"/>
      <c r="AI442" s="1"/>
      <c r="AJ442" s="1"/>
      <c r="AK442" s="1"/>
    </row>
    <row r="443" ht="30.0" customHeight="1">
      <c r="A443" s="1"/>
      <c r="B443" s="1"/>
      <c r="C443" s="2"/>
      <c r="D443" s="2"/>
      <c r="E443" s="2"/>
      <c r="F443" s="2"/>
      <c r="G443" s="2"/>
      <c r="H443" s="2"/>
      <c r="I443" s="2"/>
      <c r="J443" s="2"/>
      <c r="K443" s="2"/>
      <c r="L443" s="2"/>
      <c r="M443" s="2"/>
      <c r="N443" s="1"/>
      <c r="O443" s="2"/>
      <c r="P443" s="2"/>
      <c r="Q443" s="2"/>
      <c r="R443" s="2"/>
      <c r="S443" s="2"/>
      <c r="T443" s="2"/>
      <c r="U443" s="2"/>
      <c r="V443" s="2"/>
      <c r="W443" s="2"/>
      <c r="X443" s="2"/>
      <c r="Y443" s="2"/>
      <c r="Z443" s="1"/>
      <c r="AA443" s="1"/>
      <c r="AB443" s="1"/>
      <c r="AC443" s="1"/>
      <c r="AD443" s="1"/>
      <c r="AE443" s="1"/>
      <c r="AF443" s="1"/>
      <c r="AG443" s="1"/>
      <c r="AH443" s="1"/>
      <c r="AI443" s="1"/>
      <c r="AJ443" s="1"/>
      <c r="AK443" s="1"/>
    </row>
    <row r="444" ht="30.0" customHeight="1">
      <c r="A444" s="1"/>
      <c r="B444" s="1"/>
      <c r="C444" s="2"/>
      <c r="D444" s="2"/>
      <c r="E444" s="2"/>
      <c r="F444" s="2"/>
      <c r="G444" s="2"/>
      <c r="H444" s="2"/>
      <c r="I444" s="2"/>
      <c r="J444" s="2"/>
      <c r="K444" s="2"/>
      <c r="L444" s="2"/>
      <c r="M444" s="2"/>
      <c r="N444" s="1"/>
      <c r="O444" s="2"/>
      <c r="P444" s="2"/>
      <c r="Q444" s="2"/>
      <c r="R444" s="2"/>
      <c r="S444" s="2"/>
      <c r="T444" s="2"/>
      <c r="U444" s="2"/>
      <c r="V444" s="2"/>
      <c r="W444" s="2"/>
      <c r="X444" s="2"/>
      <c r="Y444" s="2"/>
      <c r="Z444" s="1"/>
      <c r="AA444" s="1"/>
      <c r="AB444" s="1"/>
      <c r="AC444" s="1"/>
      <c r="AD444" s="1"/>
      <c r="AE444" s="1"/>
      <c r="AF444" s="1"/>
      <c r="AG444" s="1"/>
      <c r="AH444" s="1"/>
      <c r="AI444" s="1"/>
      <c r="AJ444" s="1"/>
      <c r="AK444" s="1"/>
    </row>
    <row r="445" ht="30.0" customHeight="1">
      <c r="A445" s="1"/>
      <c r="B445" s="1"/>
      <c r="C445" s="2"/>
      <c r="D445" s="2"/>
      <c r="E445" s="2"/>
      <c r="F445" s="2"/>
      <c r="G445" s="2"/>
      <c r="H445" s="2"/>
      <c r="I445" s="2"/>
      <c r="J445" s="2"/>
      <c r="K445" s="2"/>
      <c r="L445" s="2"/>
      <c r="M445" s="2"/>
      <c r="N445" s="1"/>
      <c r="O445" s="2"/>
      <c r="P445" s="2"/>
      <c r="Q445" s="2"/>
      <c r="R445" s="2"/>
      <c r="S445" s="2"/>
      <c r="T445" s="2"/>
      <c r="U445" s="2"/>
      <c r="V445" s="2"/>
      <c r="W445" s="2"/>
      <c r="X445" s="2"/>
      <c r="Y445" s="2"/>
      <c r="Z445" s="1"/>
      <c r="AA445" s="1"/>
      <c r="AB445" s="1"/>
      <c r="AC445" s="1"/>
      <c r="AD445" s="1"/>
      <c r="AE445" s="1"/>
      <c r="AF445" s="1"/>
      <c r="AG445" s="1"/>
      <c r="AH445" s="1"/>
      <c r="AI445" s="1"/>
      <c r="AJ445" s="1"/>
      <c r="AK445" s="1"/>
    </row>
    <row r="446" ht="30.0" customHeight="1">
      <c r="A446" s="1"/>
      <c r="B446" s="1"/>
      <c r="C446" s="2"/>
      <c r="D446" s="2"/>
      <c r="E446" s="2"/>
      <c r="F446" s="2"/>
      <c r="G446" s="2"/>
      <c r="H446" s="2"/>
      <c r="I446" s="2"/>
      <c r="J446" s="2"/>
      <c r="K446" s="2"/>
      <c r="L446" s="2"/>
      <c r="M446" s="2"/>
      <c r="N446" s="1"/>
      <c r="O446" s="2"/>
      <c r="P446" s="2"/>
      <c r="Q446" s="2"/>
      <c r="R446" s="2"/>
      <c r="S446" s="2"/>
      <c r="T446" s="2"/>
      <c r="U446" s="2"/>
      <c r="V446" s="2"/>
      <c r="W446" s="2"/>
      <c r="X446" s="2"/>
      <c r="Y446" s="2"/>
      <c r="Z446" s="1"/>
      <c r="AA446" s="1"/>
      <c r="AB446" s="1"/>
      <c r="AC446" s="1"/>
      <c r="AD446" s="1"/>
      <c r="AE446" s="1"/>
      <c r="AF446" s="1"/>
      <c r="AG446" s="1"/>
      <c r="AH446" s="1"/>
      <c r="AI446" s="1"/>
      <c r="AJ446" s="1"/>
      <c r="AK446" s="1"/>
    </row>
    <row r="447" ht="30.0" customHeight="1">
      <c r="A447" s="1"/>
      <c r="B447" s="1"/>
      <c r="C447" s="2"/>
      <c r="D447" s="2"/>
      <c r="E447" s="2"/>
      <c r="F447" s="2"/>
      <c r="G447" s="2"/>
      <c r="H447" s="2"/>
      <c r="I447" s="2"/>
      <c r="J447" s="2"/>
      <c r="K447" s="2"/>
      <c r="L447" s="2"/>
      <c r="M447" s="2"/>
      <c r="N447" s="1"/>
      <c r="O447" s="2"/>
      <c r="P447" s="2"/>
      <c r="Q447" s="2"/>
      <c r="R447" s="2"/>
      <c r="S447" s="2"/>
      <c r="T447" s="2"/>
      <c r="U447" s="2"/>
      <c r="V447" s="2"/>
      <c r="W447" s="2"/>
      <c r="X447" s="2"/>
      <c r="Y447" s="2"/>
      <c r="Z447" s="1"/>
      <c r="AA447" s="1"/>
      <c r="AB447" s="1"/>
      <c r="AC447" s="1"/>
      <c r="AD447" s="1"/>
      <c r="AE447" s="1"/>
      <c r="AF447" s="1"/>
      <c r="AG447" s="1"/>
      <c r="AH447" s="1"/>
      <c r="AI447" s="1"/>
      <c r="AJ447" s="1"/>
      <c r="AK447" s="1"/>
    </row>
    <row r="448" ht="30.0" customHeight="1">
      <c r="A448" s="1"/>
      <c r="B448" s="1"/>
      <c r="C448" s="2"/>
      <c r="D448" s="2"/>
      <c r="E448" s="2"/>
      <c r="F448" s="2"/>
      <c r="G448" s="2"/>
      <c r="H448" s="2"/>
      <c r="I448" s="2"/>
      <c r="J448" s="2"/>
      <c r="K448" s="2"/>
      <c r="L448" s="2"/>
      <c r="M448" s="2"/>
      <c r="N448" s="1"/>
      <c r="O448" s="2"/>
      <c r="P448" s="2"/>
      <c r="Q448" s="2"/>
      <c r="R448" s="2"/>
      <c r="S448" s="2"/>
      <c r="T448" s="2"/>
      <c r="U448" s="2"/>
      <c r="V448" s="2"/>
      <c r="W448" s="2"/>
      <c r="X448" s="2"/>
      <c r="Y448" s="2"/>
      <c r="Z448" s="1"/>
      <c r="AA448" s="1"/>
      <c r="AB448" s="1"/>
      <c r="AC448" s="1"/>
      <c r="AD448" s="1"/>
      <c r="AE448" s="1"/>
      <c r="AF448" s="1"/>
      <c r="AG448" s="1"/>
      <c r="AH448" s="1"/>
      <c r="AI448" s="1"/>
      <c r="AJ448" s="1"/>
      <c r="AK448" s="1"/>
    </row>
    <row r="449" ht="30.0" customHeight="1">
      <c r="A449" s="1"/>
      <c r="B449" s="1"/>
      <c r="C449" s="2"/>
      <c r="D449" s="2"/>
      <c r="E449" s="2"/>
      <c r="F449" s="2"/>
      <c r="G449" s="2"/>
      <c r="H449" s="2"/>
      <c r="I449" s="2"/>
      <c r="J449" s="2"/>
      <c r="K449" s="2"/>
      <c r="L449" s="2"/>
      <c r="M449" s="2"/>
      <c r="N449" s="1"/>
      <c r="O449" s="2"/>
      <c r="P449" s="2"/>
      <c r="Q449" s="2"/>
      <c r="R449" s="2"/>
      <c r="S449" s="2"/>
      <c r="T449" s="2"/>
      <c r="U449" s="2"/>
      <c r="V449" s="2"/>
      <c r="W449" s="2"/>
      <c r="X449" s="2"/>
      <c r="Y449" s="2"/>
      <c r="Z449" s="1"/>
      <c r="AA449" s="1"/>
      <c r="AB449" s="1"/>
      <c r="AC449" s="1"/>
      <c r="AD449" s="1"/>
      <c r="AE449" s="1"/>
      <c r="AF449" s="1"/>
      <c r="AG449" s="1"/>
      <c r="AH449" s="1"/>
      <c r="AI449" s="1"/>
      <c r="AJ449" s="1"/>
      <c r="AK449" s="1"/>
    </row>
    <row r="450" ht="30.0" customHeight="1">
      <c r="A450" s="1"/>
      <c r="B450" s="1"/>
      <c r="C450" s="2"/>
      <c r="D450" s="2"/>
      <c r="E450" s="2"/>
      <c r="F450" s="2"/>
      <c r="G450" s="2"/>
      <c r="H450" s="2"/>
      <c r="I450" s="2"/>
      <c r="J450" s="2"/>
      <c r="K450" s="2"/>
      <c r="L450" s="2"/>
      <c r="M450" s="2"/>
      <c r="N450" s="1"/>
      <c r="O450" s="2"/>
      <c r="P450" s="2"/>
      <c r="Q450" s="2"/>
      <c r="R450" s="2"/>
      <c r="S450" s="2"/>
      <c r="T450" s="2"/>
      <c r="U450" s="2"/>
      <c r="V450" s="2"/>
      <c r="W450" s="2"/>
      <c r="X450" s="2"/>
      <c r="Y450" s="2"/>
      <c r="Z450" s="1"/>
      <c r="AA450" s="1"/>
      <c r="AB450" s="1"/>
      <c r="AC450" s="1"/>
      <c r="AD450" s="1"/>
      <c r="AE450" s="1"/>
      <c r="AF450" s="1"/>
      <c r="AG450" s="1"/>
      <c r="AH450" s="1"/>
      <c r="AI450" s="1"/>
      <c r="AJ450" s="1"/>
      <c r="AK450" s="1"/>
    </row>
    <row r="451" ht="30.0" customHeight="1">
      <c r="A451" s="1"/>
      <c r="B451" s="1"/>
      <c r="C451" s="2"/>
      <c r="D451" s="2"/>
      <c r="E451" s="2"/>
      <c r="F451" s="2"/>
      <c r="G451" s="2"/>
      <c r="H451" s="2"/>
      <c r="I451" s="2"/>
      <c r="J451" s="2"/>
      <c r="K451" s="2"/>
      <c r="L451" s="2"/>
      <c r="M451" s="2"/>
      <c r="N451" s="1"/>
      <c r="O451" s="2"/>
      <c r="P451" s="2"/>
      <c r="Q451" s="2"/>
      <c r="R451" s="2"/>
      <c r="S451" s="2"/>
      <c r="T451" s="2"/>
      <c r="U451" s="2"/>
      <c r="V451" s="2"/>
      <c r="W451" s="2"/>
      <c r="X451" s="2"/>
      <c r="Y451" s="2"/>
      <c r="Z451" s="1"/>
      <c r="AA451" s="1"/>
      <c r="AB451" s="1"/>
      <c r="AC451" s="1"/>
      <c r="AD451" s="1"/>
      <c r="AE451" s="1"/>
      <c r="AF451" s="1"/>
      <c r="AG451" s="1"/>
      <c r="AH451" s="1"/>
      <c r="AI451" s="1"/>
      <c r="AJ451" s="1"/>
      <c r="AK451" s="1"/>
    </row>
    <row r="452" ht="30.0" customHeight="1">
      <c r="A452" s="1"/>
      <c r="B452" s="1"/>
      <c r="C452" s="2"/>
      <c r="D452" s="2"/>
      <c r="E452" s="2"/>
      <c r="F452" s="2"/>
      <c r="G452" s="2"/>
      <c r="H452" s="2"/>
      <c r="I452" s="2"/>
      <c r="J452" s="2"/>
      <c r="K452" s="2"/>
      <c r="L452" s="2"/>
      <c r="M452" s="2"/>
      <c r="N452" s="1"/>
      <c r="O452" s="2"/>
      <c r="P452" s="2"/>
      <c r="Q452" s="2"/>
      <c r="R452" s="2"/>
      <c r="S452" s="2"/>
      <c r="T452" s="2"/>
      <c r="U452" s="2"/>
      <c r="V452" s="2"/>
      <c r="W452" s="2"/>
      <c r="X452" s="2"/>
      <c r="Y452" s="2"/>
      <c r="Z452" s="1"/>
      <c r="AA452" s="1"/>
      <c r="AB452" s="1"/>
      <c r="AC452" s="1"/>
      <c r="AD452" s="1"/>
      <c r="AE452" s="1"/>
      <c r="AF452" s="1"/>
      <c r="AG452" s="1"/>
      <c r="AH452" s="1"/>
      <c r="AI452" s="1"/>
      <c r="AJ452" s="1"/>
      <c r="AK452" s="1"/>
    </row>
    <row r="453" ht="30.0" customHeight="1">
      <c r="A453" s="1"/>
      <c r="B453" s="1"/>
      <c r="C453" s="2"/>
      <c r="D453" s="2"/>
      <c r="E453" s="2"/>
      <c r="F453" s="2"/>
      <c r="G453" s="2"/>
      <c r="H453" s="2"/>
      <c r="I453" s="2"/>
      <c r="J453" s="2"/>
      <c r="K453" s="2"/>
      <c r="L453" s="2"/>
      <c r="M453" s="2"/>
      <c r="N453" s="1"/>
      <c r="O453" s="2"/>
      <c r="P453" s="2"/>
      <c r="Q453" s="2"/>
      <c r="R453" s="2"/>
      <c r="S453" s="2"/>
      <c r="T453" s="2"/>
      <c r="U453" s="2"/>
      <c r="V453" s="2"/>
      <c r="W453" s="2"/>
      <c r="X453" s="2"/>
      <c r="Y453" s="2"/>
      <c r="Z453" s="1"/>
      <c r="AA453" s="1"/>
      <c r="AB453" s="1"/>
      <c r="AC453" s="1"/>
      <c r="AD453" s="1"/>
      <c r="AE453" s="1"/>
      <c r="AF453" s="1"/>
      <c r="AG453" s="1"/>
      <c r="AH453" s="1"/>
      <c r="AI453" s="1"/>
      <c r="AJ453" s="1"/>
      <c r="AK453" s="1"/>
    </row>
    <row r="454" ht="30.0" customHeight="1">
      <c r="A454" s="1"/>
      <c r="B454" s="1"/>
      <c r="C454" s="2"/>
      <c r="D454" s="2"/>
      <c r="E454" s="2"/>
      <c r="F454" s="2"/>
      <c r="G454" s="2"/>
      <c r="H454" s="2"/>
      <c r="I454" s="2"/>
      <c r="J454" s="2"/>
      <c r="K454" s="2"/>
      <c r="L454" s="2"/>
      <c r="M454" s="2"/>
      <c r="N454" s="1"/>
      <c r="O454" s="2"/>
      <c r="P454" s="2"/>
      <c r="Q454" s="2"/>
      <c r="R454" s="2"/>
      <c r="S454" s="2"/>
      <c r="T454" s="2"/>
      <c r="U454" s="2"/>
      <c r="V454" s="2"/>
      <c r="W454" s="2"/>
      <c r="X454" s="2"/>
      <c r="Y454" s="2"/>
      <c r="Z454" s="1"/>
      <c r="AA454" s="1"/>
      <c r="AB454" s="1"/>
      <c r="AC454" s="1"/>
      <c r="AD454" s="1"/>
      <c r="AE454" s="1"/>
      <c r="AF454" s="1"/>
      <c r="AG454" s="1"/>
      <c r="AH454" s="1"/>
      <c r="AI454" s="1"/>
      <c r="AJ454" s="1"/>
      <c r="AK454" s="1"/>
    </row>
    <row r="455" ht="30.0" customHeight="1">
      <c r="A455" s="1"/>
      <c r="B455" s="1"/>
      <c r="C455" s="2"/>
      <c r="D455" s="2"/>
      <c r="E455" s="2"/>
      <c r="F455" s="2"/>
      <c r="G455" s="2"/>
      <c r="H455" s="2"/>
      <c r="I455" s="2"/>
      <c r="J455" s="2"/>
      <c r="K455" s="2"/>
      <c r="L455" s="2"/>
      <c r="M455" s="2"/>
      <c r="N455" s="1"/>
      <c r="O455" s="2"/>
      <c r="P455" s="2"/>
      <c r="Q455" s="2"/>
      <c r="R455" s="2"/>
      <c r="S455" s="2"/>
      <c r="T455" s="2"/>
      <c r="U455" s="2"/>
      <c r="V455" s="2"/>
      <c r="W455" s="2"/>
      <c r="X455" s="2"/>
      <c r="Y455" s="2"/>
      <c r="Z455" s="1"/>
      <c r="AA455" s="1"/>
      <c r="AB455" s="1"/>
      <c r="AC455" s="1"/>
      <c r="AD455" s="1"/>
      <c r="AE455" s="1"/>
      <c r="AF455" s="1"/>
      <c r="AG455" s="1"/>
      <c r="AH455" s="1"/>
      <c r="AI455" s="1"/>
      <c r="AJ455" s="1"/>
      <c r="AK455" s="1"/>
    </row>
    <row r="456" ht="30.0" customHeight="1">
      <c r="A456" s="1"/>
      <c r="B456" s="1"/>
      <c r="C456" s="2"/>
      <c r="D456" s="2"/>
      <c r="E456" s="2"/>
      <c r="F456" s="2"/>
      <c r="G456" s="2"/>
      <c r="H456" s="2"/>
      <c r="I456" s="2"/>
      <c r="J456" s="2"/>
      <c r="K456" s="2"/>
      <c r="L456" s="2"/>
      <c r="M456" s="2"/>
      <c r="N456" s="1"/>
      <c r="O456" s="2"/>
      <c r="P456" s="2"/>
      <c r="Q456" s="2"/>
      <c r="R456" s="2"/>
      <c r="S456" s="2"/>
      <c r="T456" s="2"/>
      <c r="U456" s="2"/>
      <c r="V456" s="2"/>
      <c r="W456" s="2"/>
      <c r="X456" s="2"/>
      <c r="Y456" s="2"/>
      <c r="Z456" s="1"/>
      <c r="AA456" s="1"/>
      <c r="AB456" s="1"/>
      <c r="AC456" s="1"/>
      <c r="AD456" s="1"/>
      <c r="AE456" s="1"/>
      <c r="AF456" s="1"/>
      <c r="AG456" s="1"/>
      <c r="AH456" s="1"/>
      <c r="AI456" s="1"/>
      <c r="AJ456" s="1"/>
      <c r="AK456" s="1"/>
    </row>
    <row r="457" ht="30.0" customHeight="1">
      <c r="A457" s="1"/>
      <c r="B457" s="1"/>
      <c r="C457" s="2"/>
      <c r="D457" s="2"/>
      <c r="E457" s="2"/>
      <c r="F457" s="2"/>
      <c r="G457" s="2"/>
      <c r="H457" s="2"/>
      <c r="I457" s="2"/>
      <c r="J457" s="2"/>
      <c r="K457" s="2"/>
      <c r="L457" s="2"/>
      <c r="M457" s="2"/>
      <c r="N457" s="1"/>
      <c r="O457" s="2"/>
      <c r="P457" s="2"/>
      <c r="Q457" s="2"/>
      <c r="R457" s="2"/>
      <c r="S457" s="2"/>
      <c r="T457" s="2"/>
      <c r="U457" s="2"/>
      <c r="V457" s="2"/>
      <c r="W457" s="2"/>
      <c r="X457" s="2"/>
      <c r="Y457" s="2"/>
      <c r="Z457" s="1"/>
      <c r="AA457" s="1"/>
      <c r="AB457" s="1"/>
      <c r="AC457" s="1"/>
      <c r="AD457" s="1"/>
      <c r="AE457" s="1"/>
      <c r="AF457" s="1"/>
      <c r="AG457" s="1"/>
      <c r="AH457" s="1"/>
      <c r="AI457" s="1"/>
      <c r="AJ457" s="1"/>
      <c r="AK457" s="1"/>
    </row>
    <row r="458" ht="30.0" customHeight="1">
      <c r="A458" s="1"/>
      <c r="B458" s="1"/>
      <c r="C458" s="2"/>
      <c r="D458" s="2"/>
      <c r="E458" s="2"/>
      <c r="F458" s="2"/>
      <c r="G458" s="2"/>
      <c r="H458" s="2"/>
      <c r="I458" s="2"/>
      <c r="J458" s="2"/>
      <c r="K458" s="2"/>
      <c r="L458" s="2"/>
      <c r="M458" s="2"/>
      <c r="N458" s="1"/>
      <c r="O458" s="2"/>
      <c r="P458" s="2"/>
      <c r="Q458" s="2"/>
      <c r="R458" s="2"/>
      <c r="S458" s="2"/>
      <c r="T458" s="2"/>
      <c r="U458" s="2"/>
      <c r="V458" s="2"/>
      <c r="W458" s="2"/>
      <c r="X458" s="2"/>
      <c r="Y458" s="2"/>
      <c r="Z458" s="1"/>
      <c r="AA458" s="1"/>
      <c r="AB458" s="1"/>
      <c r="AC458" s="1"/>
      <c r="AD458" s="1"/>
      <c r="AE458" s="1"/>
      <c r="AF458" s="1"/>
      <c r="AG458" s="1"/>
      <c r="AH458" s="1"/>
      <c r="AI458" s="1"/>
      <c r="AJ458" s="1"/>
      <c r="AK458" s="1"/>
    </row>
    <row r="459" ht="30.0" customHeight="1">
      <c r="A459" s="1"/>
      <c r="B459" s="1"/>
      <c r="C459" s="2"/>
      <c r="D459" s="2"/>
      <c r="E459" s="2"/>
      <c r="F459" s="2"/>
      <c r="G459" s="2"/>
      <c r="H459" s="2"/>
      <c r="I459" s="2"/>
      <c r="J459" s="2"/>
      <c r="K459" s="2"/>
      <c r="L459" s="2"/>
      <c r="M459" s="2"/>
      <c r="N459" s="1"/>
      <c r="O459" s="2"/>
      <c r="P459" s="2"/>
      <c r="Q459" s="2"/>
      <c r="R459" s="2"/>
      <c r="S459" s="2"/>
      <c r="T459" s="2"/>
      <c r="U459" s="2"/>
      <c r="V459" s="2"/>
      <c r="W459" s="2"/>
      <c r="X459" s="2"/>
      <c r="Y459" s="2"/>
      <c r="Z459" s="1"/>
      <c r="AA459" s="1"/>
      <c r="AB459" s="1"/>
      <c r="AC459" s="1"/>
      <c r="AD459" s="1"/>
      <c r="AE459" s="1"/>
      <c r="AF459" s="1"/>
      <c r="AG459" s="1"/>
      <c r="AH459" s="1"/>
      <c r="AI459" s="1"/>
      <c r="AJ459" s="1"/>
      <c r="AK459" s="1"/>
    </row>
    <row r="460" ht="30.0" customHeight="1">
      <c r="A460" s="1"/>
      <c r="B460" s="1"/>
      <c r="C460" s="2"/>
      <c r="D460" s="2"/>
      <c r="E460" s="2"/>
      <c r="F460" s="2"/>
      <c r="G460" s="2"/>
      <c r="H460" s="2"/>
      <c r="I460" s="2"/>
      <c r="J460" s="2"/>
      <c r="K460" s="2"/>
      <c r="L460" s="2"/>
      <c r="M460" s="2"/>
      <c r="N460" s="1"/>
      <c r="O460" s="2"/>
      <c r="P460" s="2"/>
      <c r="Q460" s="2"/>
      <c r="R460" s="2"/>
      <c r="S460" s="2"/>
      <c r="T460" s="2"/>
      <c r="U460" s="2"/>
      <c r="V460" s="2"/>
      <c r="W460" s="2"/>
      <c r="X460" s="2"/>
      <c r="Y460" s="2"/>
      <c r="Z460" s="1"/>
      <c r="AA460" s="1"/>
      <c r="AB460" s="1"/>
      <c r="AC460" s="1"/>
      <c r="AD460" s="1"/>
      <c r="AE460" s="1"/>
      <c r="AF460" s="1"/>
      <c r="AG460" s="1"/>
      <c r="AH460" s="1"/>
      <c r="AI460" s="1"/>
      <c r="AJ460" s="1"/>
      <c r="AK460" s="1"/>
    </row>
    <row r="461" ht="30.0" customHeight="1">
      <c r="A461" s="1"/>
      <c r="B461" s="1"/>
      <c r="C461" s="2"/>
      <c r="D461" s="2"/>
      <c r="E461" s="2"/>
      <c r="F461" s="2"/>
      <c r="G461" s="2"/>
      <c r="H461" s="2"/>
      <c r="I461" s="2"/>
      <c r="J461" s="2"/>
      <c r="K461" s="2"/>
      <c r="L461" s="2"/>
      <c r="M461" s="2"/>
      <c r="N461" s="1"/>
      <c r="O461" s="2"/>
      <c r="P461" s="2"/>
      <c r="Q461" s="2"/>
      <c r="R461" s="2"/>
      <c r="S461" s="2"/>
      <c r="T461" s="2"/>
      <c r="U461" s="2"/>
      <c r="V461" s="2"/>
      <c r="W461" s="2"/>
      <c r="X461" s="2"/>
      <c r="Y461" s="2"/>
      <c r="Z461" s="1"/>
      <c r="AA461" s="1"/>
      <c r="AB461" s="1"/>
      <c r="AC461" s="1"/>
      <c r="AD461" s="1"/>
      <c r="AE461" s="1"/>
      <c r="AF461" s="1"/>
      <c r="AG461" s="1"/>
      <c r="AH461" s="1"/>
      <c r="AI461" s="1"/>
      <c r="AJ461" s="1"/>
      <c r="AK461" s="1"/>
    </row>
    <row r="462" ht="30.0" customHeight="1">
      <c r="A462" s="1"/>
      <c r="B462" s="1"/>
      <c r="C462" s="2"/>
      <c r="D462" s="2"/>
      <c r="E462" s="2"/>
      <c r="F462" s="2"/>
      <c r="G462" s="2"/>
      <c r="H462" s="2"/>
      <c r="I462" s="2"/>
      <c r="J462" s="2"/>
      <c r="K462" s="2"/>
      <c r="L462" s="2"/>
      <c r="M462" s="2"/>
      <c r="N462" s="1"/>
      <c r="O462" s="2"/>
      <c r="P462" s="2"/>
      <c r="Q462" s="2"/>
      <c r="R462" s="2"/>
      <c r="S462" s="2"/>
      <c r="T462" s="2"/>
      <c r="U462" s="2"/>
      <c r="V462" s="2"/>
      <c r="W462" s="2"/>
      <c r="X462" s="2"/>
      <c r="Y462" s="2"/>
      <c r="Z462" s="1"/>
      <c r="AA462" s="1"/>
      <c r="AB462" s="1"/>
      <c r="AC462" s="1"/>
      <c r="AD462" s="1"/>
      <c r="AE462" s="1"/>
      <c r="AF462" s="1"/>
      <c r="AG462" s="1"/>
      <c r="AH462" s="1"/>
      <c r="AI462" s="1"/>
      <c r="AJ462" s="1"/>
      <c r="AK462" s="1"/>
    </row>
    <row r="463" ht="30.0" customHeight="1">
      <c r="A463" s="1"/>
      <c r="B463" s="1"/>
      <c r="C463" s="2"/>
      <c r="D463" s="2"/>
      <c r="E463" s="2"/>
      <c r="F463" s="2"/>
      <c r="G463" s="2"/>
      <c r="H463" s="2"/>
      <c r="I463" s="2"/>
      <c r="J463" s="2"/>
      <c r="K463" s="2"/>
      <c r="L463" s="2"/>
      <c r="M463" s="2"/>
      <c r="N463" s="1"/>
      <c r="O463" s="2"/>
      <c r="P463" s="2"/>
      <c r="Q463" s="2"/>
      <c r="R463" s="2"/>
      <c r="S463" s="2"/>
      <c r="T463" s="2"/>
      <c r="U463" s="2"/>
      <c r="V463" s="2"/>
      <c r="W463" s="2"/>
      <c r="X463" s="2"/>
      <c r="Y463" s="2"/>
      <c r="Z463" s="1"/>
      <c r="AA463" s="1"/>
      <c r="AB463" s="1"/>
      <c r="AC463" s="1"/>
      <c r="AD463" s="1"/>
      <c r="AE463" s="1"/>
      <c r="AF463" s="1"/>
      <c r="AG463" s="1"/>
      <c r="AH463" s="1"/>
      <c r="AI463" s="1"/>
      <c r="AJ463" s="1"/>
      <c r="AK463" s="1"/>
    </row>
    <row r="464" ht="30.0" customHeight="1">
      <c r="A464" s="1"/>
      <c r="B464" s="1"/>
      <c r="C464" s="2"/>
      <c r="D464" s="2"/>
      <c r="E464" s="2"/>
      <c r="F464" s="2"/>
      <c r="G464" s="2"/>
      <c r="H464" s="2"/>
      <c r="I464" s="2"/>
      <c r="J464" s="2"/>
      <c r="K464" s="2"/>
      <c r="L464" s="2"/>
      <c r="M464" s="2"/>
      <c r="N464" s="1"/>
      <c r="O464" s="2"/>
      <c r="P464" s="2"/>
      <c r="Q464" s="2"/>
      <c r="R464" s="2"/>
      <c r="S464" s="2"/>
      <c r="T464" s="2"/>
      <c r="U464" s="2"/>
      <c r="V464" s="2"/>
      <c r="W464" s="2"/>
      <c r="X464" s="2"/>
      <c r="Y464" s="2"/>
      <c r="Z464" s="1"/>
      <c r="AA464" s="1"/>
      <c r="AB464" s="1"/>
      <c r="AC464" s="1"/>
      <c r="AD464" s="1"/>
      <c r="AE464" s="1"/>
      <c r="AF464" s="1"/>
      <c r="AG464" s="1"/>
      <c r="AH464" s="1"/>
      <c r="AI464" s="1"/>
      <c r="AJ464" s="1"/>
      <c r="AK464" s="1"/>
    </row>
    <row r="465" ht="30.0" customHeight="1">
      <c r="A465" s="1"/>
      <c r="B465" s="1"/>
      <c r="C465" s="2"/>
      <c r="D465" s="2"/>
      <c r="E465" s="2"/>
      <c r="F465" s="2"/>
      <c r="G465" s="2"/>
      <c r="H465" s="2"/>
      <c r="I465" s="2"/>
      <c r="J465" s="2"/>
      <c r="K465" s="2"/>
      <c r="L465" s="2"/>
      <c r="M465" s="2"/>
      <c r="N465" s="1"/>
      <c r="O465" s="2"/>
      <c r="P465" s="2"/>
      <c r="Q465" s="2"/>
      <c r="R465" s="2"/>
      <c r="S465" s="2"/>
      <c r="T465" s="2"/>
      <c r="U465" s="2"/>
      <c r="V465" s="2"/>
      <c r="W465" s="2"/>
      <c r="X465" s="2"/>
      <c r="Y465" s="2"/>
      <c r="Z465" s="1"/>
      <c r="AA465" s="1"/>
      <c r="AB465" s="1"/>
      <c r="AC465" s="1"/>
      <c r="AD465" s="1"/>
      <c r="AE465" s="1"/>
      <c r="AF465" s="1"/>
      <c r="AG465" s="1"/>
      <c r="AH465" s="1"/>
      <c r="AI465" s="1"/>
      <c r="AJ465" s="1"/>
      <c r="AK465" s="1"/>
    </row>
    <row r="466" ht="30.0" customHeight="1">
      <c r="A466" s="1"/>
      <c r="B466" s="1"/>
      <c r="C466" s="2"/>
      <c r="D466" s="2"/>
      <c r="E466" s="2"/>
      <c r="F466" s="2"/>
      <c r="G466" s="2"/>
      <c r="H466" s="2"/>
      <c r="I466" s="2"/>
      <c r="J466" s="2"/>
      <c r="K466" s="2"/>
      <c r="L466" s="2"/>
      <c r="M466" s="2"/>
      <c r="N466" s="1"/>
      <c r="O466" s="2"/>
      <c r="P466" s="2"/>
      <c r="Q466" s="2"/>
      <c r="R466" s="2"/>
      <c r="S466" s="2"/>
      <c r="T466" s="2"/>
      <c r="U466" s="2"/>
      <c r="V466" s="2"/>
      <c r="W466" s="2"/>
      <c r="X466" s="2"/>
      <c r="Y466" s="2"/>
      <c r="Z466" s="1"/>
      <c r="AA466" s="1"/>
      <c r="AB466" s="1"/>
      <c r="AC466" s="1"/>
      <c r="AD466" s="1"/>
      <c r="AE466" s="1"/>
      <c r="AF466" s="1"/>
      <c r="AG466" s="1"/>
      <c r="AH466" s="1"/>
      <c r="AI466" s="1"/>
      <c r="AJ466" s="1"/>
      <c r="AK466" s="1"/>
    </row>
    <row r="467" ht="30.0" customHeight="1">
      <c r="A467" s="1"/>
      <c r="B467" s="1"/>
      <c r="C467" s="2"/>
      <c r="D467" s="2"/>
      <c r="E467" s="2"/>
      <c r="F467" s="2"/>
      <c r="G467" s="2"/>
      <c r="H467" s="2"/>
      <c r="I467" s="2"/>
      <c r="J467" s="2"/>
      <c r="K467" s="2"/>
      <c r="L467" s="2"/>
      <c r="M467" s="2"/>
      <c r="N467" s="1"/>
      <c r="O467" s="2"/>
      <c r="P467" s="2"/>
      <c r="Q467" s="2"/>
      <c r="R467" s="2"/>
      <c r="S467" s="2"/>
      <c r="T467" s="2"/>
      <c r="U467" s="2"/>
      <c r="V467" s="2"/>
      <c r="W467" s="2"/>
      <c r="X467" s="2"/>
      <c r="Y467" s="2"/>
      <c r="Z467" s="1"/>
      <c r="AA467" s="1"/>
      <c r="AB467" s="1"/>
      <c r="AC467" s="1"/>
      <c r="AD467" s="1"/>
      <c r="AE467" s="1"/>
      <c r="AF467" s="1"/>
      <c r="AG467" s="1"/>
      <c r="AH467" s="1"/>
      <c r="AI467" s="1"/>
      <c r="AJ467" s="1"/>
      <c r="AK467" s="1"/>
    </row>
    <row r="468" ht="30.0" customHeight="1">
      <c r="A468" s="1"/>
      <c r="B468" s="1"/>
      <c r="C468" s="2"/>
      <c r="D468" s="2"/>
      <c r="E468" s="2"/>
      <c r="F468" s="2"/>
      <c r="G468" s="2"/>
      <c r="H468" s="2"/>
      <c r="I468" s="2"/>
      <c r="J468" s="2"/>
      <c r="K468" s="2"/>
      <c r="L468" s="2"/>
      <c r="M468" s="2"/>
      <c r="N468" s="1"/>
      <c r="O468" s="2"/>
      <c r="P468" s="2"/>
      <c r="Q468" s="2"/>
      <c r="R468" s="2"/>
      <c r="S468" s="2"/>
      <c r="T468" s="2"/>
      <c r="U468" s="2"/>
      <c r="V468" s="2"/>
      <c r="W468" s="2"/>
      <c r="X468" s="2"/>
      <c r="Y468" s="2"/>
      <c r="Z468" s="1"/>
      <c r="AA468" s="1"/>
      <c r="AB468" s="1"/>
      <c r="AC468" s="1"/>
      <c r="AD468" s="1"/>
      <c r="AE468" s="1"/>
      <c r="AF468" s="1"/>
      <c r="AG468" s="1"/>
      <c r="AH468" s="1"/>
      <c r="AI468" s="1"/>
      <c r="AJ468" s="1"/>
      <c r="AK468" s="1"/>
    </row>
    <row r="469" ht="30.0" customHeight="1">
      <c r="A469" s="1"/>
      <c r="B469" s="1"/>
      <c r="C469" s="2"/>
      <c r="D469" s="2"/>
      <c r="E469" s="2"/>
      <c r="F469" s="2"/>
      <c r="G469" s="2"/>
      <c r="H469" s="2"/>
      <c r="I469" s="2"/>
      <c r="J469" s="2"/>
      <c r="K469" s="2"/>
      <c r="L469" s="2"/>
      <c r="M469" s="2"/>
      <c r="N469" s="1"/>
      <c r="O469" s="2"/>
      <c r="P469" s="2"/>
      <c r="Q469" s="2"/>
      <c r="R469" s="2"/>
      <c r="S469" s="2"/>
      <c r="T469" s="2"/>
      <c r="U469" s="2"/>
      <c r="V469" s="2"/>
      <c r="W469" s="2"/>
      <c r="X469" s="2"/>
      <c r="Y469" s="2"/>
      <c r="Z469" s="1"/>
      <c r="AA469" s="1"/>
      <c r="AB469" s="1"/>
      <c r="AC469" s="1"/>
      <c r="AD469" s="1"/>
      <c r="AE469" s="1"/>
      <c r="AF469" s="1"/>
      <c r="AG469" s="1"/>
      <c r="AH469" s="1"/>
      <c r="AI469" s="1"/>
      <c r="AJ469" s="1"/>
      <c r="AK469" s="1"/>
    </row>
    <row r="470" ht="30.0" customHeight="1">
      <c r="A470" s="1"/>
      <c r="B470" s="1"/>
      <c r="C470" s="2"/>
      <c r="D470" s="2"/>
      <c r="E470" s="2"/>
      <c r="F470" s="2"/>
      <c r="G470" s="2"/>
      <c r="H470" s="2"/>
      <c r="I470" s="2"/>
      <c r="J470" s="2"/>
      <c r="K470" s="2"/>
      <c r="L470" s="2"/>
      <c r="M470" s="2"/>
      <c r="N470" s="1"/>
      <c r="O470" s="2"/>
      <c r="P470" s="2"/>
      <c r="Q470" s="2"/>
      <c r="R470" s="2"/>
      <c r="S470" s="2"/>
      <c r="T470" s="2"/>
      <c r="U470" s="2"/>
      <c r="V470" s="2"/>
      <c r="W470" s="2"/>
      <c r="X470" s="2"/>
      <c r="Y470" s="2"/>
      <c r="Z470" s="1"/>
      <c r="AA470" s="1"/>
      <c r="AB470" s="1"/>
      <c r="AC470" s="1"/>
      <c r="AD470" s="1"/>
      <c r="AE470" s="1"/>
      <c r="AF470" s="1"/>
      <c r="AG470" s="1"/>
      <c r="AH470" s="1"/>
      <c r="AI470" s="1"/>
      <c r="AJ470" s="1"/>
      <c r="AK470" s="1"/>
    </row>
    <row r="471" ht="30.0" customHeight="1">
      <c r="A471" s="1"/>
      <c r="B471" s="1"/>
      <c r="C471" s="2"/>
      <c r="D471" s="2"/>
      <c r="E471" s="2"/>
      <c r="F471" s="2"/>
      <c r="G471" s="2"/>
      <c r="H471" s="2"/>
      <c r="I471" s="2"/>
      <c r="J471" s="2"/>
      <c r="K471" s="2"/>
      <c r="L471" s="2"/>
      <c r="M471" s="2"/>
      <c r="N471" s="1"/>
      <c r="O471" s="2"/>
      <c r="P471" s="2"/>
      <c r="Q471" s="2"/>
      <c r="R471" s="2"/>
      <c r="S471" s="2"/>
      <c r="T471" s="2"/>
      <c r="U471" s="2"/>
      <c r="V471" s="2"/>
      <c r="W471" s="2"/>
      <c r="X471" s="2"/>
      <c r="Y471" s="2"/>
      <c r="Z471" s="1"/>
      <c r="AA471" s="1"/>
      <c r="AB471" s="1"/>
      <c r="AC471" s="1"/>
      <c r="AD471" s="1"/>
      <c r="AE471" s="1"/>
      <c r="AF471" s="1"/>
      <c r="AG471" s="1"/>
      <c r="AH471" s="1"/>
      <c r="AI471" s="1"/>
      <c r="AJ471" s="1"/>
      <c r="AK471" s="1"/>
    </row>
    <row r="472" ht="30.0" customHeight="1">
      <c r="A472" s="1"/>
      <c r="B472" s="1"/>
      <c r="C472" s="2"/>
      <c r="D472" s="2"/>
      <c r="E472" s="2"/>
      <c r="F472" s="2"/>
      <c r="G472" s="2"/>
      <c r="H472" s="2"/>
      <c r="I472" s="2"/>
      <c r="J472" s="2"/>
      <c r="K472" s="2"/>
      <c r="L472" s="2"/>
      <c r="M472" s="2"/>
      <c r="N472" s="1"/>
      <c r="O472" s="2"/>
      <c r="P472" s="2"/>
      <c r="Q472" s="2"/>
      <c r="R472" s="2"/>
      <c r="S472" s="2"/>
      <c r="T472" s="2"/>
      <c r="U472" s="2"/>
      <c r="V472" s="2"/>
      <c r="W472" s="2"/>
      <c r="X472" s="2"/>
      <c r="Y472" s="2"/>
      <c r="Z472" s="1"/>
      <c r="AA472" s="1"/>
      <c r="AB472" s="1"/>
      <c r="AC472" s="1"/>
      <c r="AD472" s="1"/>
      <c r="AE472" s="1"/>
      <c r="AF472" s="1"/>
      <c r="AG472" s="1"/>
      <c r="AH472" s="1"/>
      <c r="AI472" s="1"/>
      <c r="AJ472" s="1"/>
      <c r="AK472" s="1"/>
    </row>
    <row r="473" ht="30.0" customHeight="1">
      <c r="A473" s="1"/>
      <c r="B473" s="1"/>
      <c r="C473" s="2"/>
      <c r="D473" s="2"/>
      <c r="E473" s="2"/>
      <c r="F473" s="2"/>
      <c r="G473" s="2"/>
      <c r="H473" s="2"/>
      <c r="I473" s="2"/>
      <c r="J473" s="2"/>
      <c r="K473" s="2"/>
      <c r="L473" s="2"/>
      <c r="M473" s="2"/>
      <c r="N473" s="1"/>
      <c r="O473" s="2"/>
      <c r="P473" s="2"/>
      <c r="Q473" s="2"/>
      <c r="R473" s="2"/>
      <c r="S473" s="2"/>
      <c r="T473" s="2"/>
      <c r="U473" s="2"/>
      <c r="V473" s="2"/>
      <c r="W473" s="2"/>
      <c r="X473" s="2"/>
      <c r="Y473" s="2"/>
      <c r="Z473" s="1"/>
      <c r="AA473" s="1"/>
      <c r="AB473" s="1"/>
      <c r="AC473" s="1"/>
      <c r="AD473" s="1"/>
      <c r="AE473" s="1"/>
      <c r="AF473" s="1"/>
      <c r="AG473" s="1"/>
      <c r="AH473" s="1"/>
      <c r="AI473" s="1"/>
      <c r="AJ473" s="1"/>
      <c r="AK473" s="1"/>
    </row>
    <row r="474" ht="30.0" customHeight="1">
      <c r="A474" s="1"/>
      <c r="B474" s="1"/>
      <c r="C474" s="2"/>
      <c r="D474" s="2"/>
      <c r="E474" s="2"/>
      <c r="F474" s="2"/>
      <c r="G474" s="2"/>
      <c r="H474" s="2"/>
      <c r="I474" s="2"/>
      <c r="J474" s="2"/>
      <c r="K474" s="2"/>
      <c r="L474" s="2"/>
      <c r="M474" s="2"/>
      <c r="N474" s="1"/>
      <c r="O474" s="2"/>
      <c r="P474" s="2"/>
      <c r="Q474" s="2"/>
      <c r="R474" s="2"/>
      <c r="S474" s="2"/>
      <c r="T474" s="2"/>
      <c r="U474" s="2"/>
      <c r="V474" s="2"/>
      <c r="W474" s="2"/>
      <c r="X474" s="2"/>
      <c r="Y474" s="2"/>
      <c r="Z474" s="1"/>
      <c r="AA474" s="1"/>
      <c r="AB474" s="1"/>
      <c r="AC474" s="1"/>
      <c r="AD474" s="1"/>
      <c r="AE474" s="1"/>
      <c r="AF474" s="1"/>
      <c r="AG474" s="1"/>
      <c r="AH474" s="1"/>
      <c r="AI474" s="1"/>
      <c r="AJ474" s="1"/>
      <c r="AK474" s="1"/>
    </row>
    <row r="475" ht="30.0" customHeight="1">
      <c r="A475" s="1"/>
      <c r="B475" s="1"/>
      <c r="C475" s="2"/>
      <c r="D475" s="2"/>
      <c r="E475" s="2"/>
      <c r="F475" s="2"/>
      <c r="G475" s="2"/>
      <c r="H475" s="2"/>
      <c r="I475" s="2"/>
      <c r="J475" s="2"/>
      <c r="K475" s="2"/>
      <c r="L475" s="2"/>
      <c r="M475" s="2"/>
      <c r="N475" s="1"/>
      <c r="O475" s="2"/>
      <c r="P475" s="2"/>
      <c r="Q475" s="2"/>
      <c r="R475" s="2"/>
      <c r="S475" s="2"/>
      <c r="T475" s="2"/>
      <c r="U475" s="2"/>
      <c r="V475" s="2"/>
      <c r="W475" s="2"/>
      <c r="X475" s="2"/>
      <c r="Y475" s="2"/>
      <c r="Z475" s="1"/>
      <c r="AA475" s="1"/>
      <c r="AB475" s="1"/>
      <c r="AC475" s="1"/>
      <c r="AD475" s="1"/>
      <c r="AE475" s="1"/>
      <c r="AF475" s="1"/>
      <c r="AG475" s="1"/>
      <c r="AH475" s="1"/>
      <c r="AI475" s="1"/>
      <c r="AJ475" s="1"/>
      <c r="AK475" s="1"/>
    </row>
    <row r="476" ht="30.0" customHeight="1">
      <c r="A476" s="1"/>
      <c r="B476" s="1"/>
      <c r="C476" s="2"/>
      <c r="D476" s="2"/>
      <c r="E476" s="2"/>
      <c r="F476" s="2"/>
      <c r="G476" s="2"/>
      <c r="H476" s="2"/>
      <c r="I476" s="2"/>
      <c r="J476" s="2"/>
      <c r="K476" s="2"/>
      <c r="L476" s="2"/>
      <c r="M476" s="2"/>
      <c r="N476" s="1"/>
      <c r="O476" s="2"/>
      <c r="P476" s="2"/>
      <c r="Q476" s="2"/>
      <c r="R476" s="2"/>
      <c r="S476" s="2"/>
      <c r="T476" s="2"/>
      <c r="U476" s="2"/>
      <c r="V476" s="2"/>
      <c r="W476" s="2"/>
      <c r="X476" s="2"/>
      <c r="Y476" s="2"/>
      <c r="Z476" s="1"/>
      <c r="AA476" s="1"/>
      <c r="AB476" s="1"/>
      <c r="AC476" s="1"/>
      <c r="AD476" s="1"/>
      <c r="AE476" s="1"/>
      <c r="AF476" s="1"/>
      <c r="AG476" s="1"/>
      <c r="AH476" s="1"/>
      <c r="AI476" s="1"/>
      <c r="AJ476" s="1"/>
      <c r="AK476" s="1"/>
    </row>
    <row r="477" ht="30.0" customHeight="1">
      <c r="A477" s="1"/>
      <c r="B477" s="1"/>
      <c r="C477" s="2"/>
      <c r="D477" s="2"/>
      <c r="E477" s="2"/>
      <c r="F477" s="2"/>
      <c r="G477" s="2"/>
      <c r="H477" s="2"/>
      <c r="I477" s="2"/>
      <c r="J477" s="2"/>
      <c r="K477" s="2"/>
      <c r="L477" s="2"/>
      <c r="M477" s="2"/>
      <c r="N477" s="1"/>
      <c r="O477" s="2"/>
      <c r="P477" s="2"/>
      <c r="Q477" s="2"/>
      <c r="R477" s="2"/>
      <c r="S477" s="2"/>
      <c r="T477" s="2"/>
      <c r="U477" s="2"/>
      <c r="V477" s="2"/>
      <c r="W477" s="2"/>
      <c r="X477" s="2"/>
      <c r="Y477" s="2"/>
      <c r="Z477" s="1"/>
      <c r="AA477" s="1"/>
      <c r="AB477" s="1"/>
      <c r="AC477" s="1"/>
      <c r="AD477" s="1"/>
      <c r="AE477" s="1"/>
      <c r="AF477" s="1"/>
      <c r="AG477" s="1"/>
      <c r="AH477" s="1"/>
      <c r="AI477" s="1"/>
      <c r="AJ477" s="1"/>
      <c r="AK477" s="1"/>
    </row>
    <row r="478" ht="30.0" customHeight="1">
      <c r="A478" s="1"/>
      <c r="B478" s="1"/>
      <c r="C478" s="2"/>
      <c r="D478" s="2"/>
      <c r="E478" s="2"/>
      <c r="F478" s="2"/>
      <c r="G478" s="2"/>
      <c r="H478" s="2"/>
      <c r="I478" s="2"/>
      <c r="J478" s="2"/>
      <c r="K478" s="2"/>
      <c r="L478" s="2"/>
      <c r="M478" s="2"/>
      <c r="N478" s="1"/>
      <c r="O478" s="2"/>
      <c r="P478" s="2"/>
      <c r="Q478" s="2"/>
      <c r="R478" s="2"/>
      <c r="S478" s="2"/>
      <c r="T478" s="2"/>
      <c r="U478" s="2"/>
      <c r="V478" s="2"/>
      <c r="W478" s="2"/>
      <c r="X478" s="2"/>
      <c r="Y478" s="2"/>
      <c r="Z478" s="1"/>
      <c r="AA478" s="1"/>
      <c r="AB478" s="1"/>
      <c r="AC478" s="1"/>
      <c r="AD478" s="1"/>
      <c r="AE478" s="1"/>
      <c r="AF478" s="1"/>
      <c r="AG478" s="1"/>
      <c r="AH478" s="1"/>
      <c r="AI478" s="1"/>
      <c r="AJ478" s="1"/>
      <c r="AK478" s="1"/>
    </row>
    <row r="479" ht="30.0" customHeight="1">
      <c r="A479" s="1"/>
      <c r="B479" s="1"/>
      <c r="C479" s="2"/>
      <c r="D479" s="2"/>
      <c r="E479" s="2"/>
      <c r="F479" s="2"/>
      <c r="G479" s="2"/>
      <c r="H479" s="2"/>
      <c r="I479" s="2"/>
      <c r="J479" s="2"/>
      <c r="K479" s="2"/>
      <c r="L479" s="2"/>
      <c r="M479" s="2"/>
      <c r="N479" s="1"/>
      <c r="O479" s="2"/>
      <c r="P479" s="2"/>
      <c r="Q479" s="2"/>
      <c r="R479" s="2"/>
      <c r="S479" s="2"/>
      <c r="T479" s="2"/>
      <c r="U479" s="2"/>
      <c r="V479" s="2"/>
      <c r="W479" s="2"/>
      <c r="X479" s="2"/>
      <c r="Y479" s="2"/>
      <c r="Z479" s="1"/>
      <c r="AA479" s="1"/>
      <c r="AB479" s="1"/>
      <c r="AC479" s="1"/>
      <c r="AD479" s="1"/>
      <c r="AE479" s="1"/>
      <c r="AF479" s="1"/>
      <c r="AG479" s="1"/>
      <c r="AH479" s="1"/>
      <c r="AI479" s="1"/>
      <c r="AJ479" s="1"/>
      <c r="AK479" s="1"/>
    </row>
    <row r="480" ht="30.0" customHeight="1">
      <c r="A480" s="1"/>
      <c r="B480" s="1"/>
      <c r="C480" s="2"/>
      <c r="D480" s="2"/>
      <c r="E480" s="2"/>
      <c r="F480" s="2"/>
      <c r="G480" s="2"/>
      <c r="H480" s="2"/>
      <c r="I480" s="2"/>
      <c r="J480" s="2"/>
      <c r="K480" s="2"/>
      <c r="L480" s="2"/>
      <c r="M480" s="2"/>
      <c r="N480" s="1"/>
      <c r="O480" s="2"/>
      <c r="P480" s="2"/>
      <c r="Q480" s="2"/>
      <c r="R480" s="2"/>
      <c r="S480" s="2"/>
      <c r="T480" s="2"/>
      <c r="U480" s="2"/>
      <c r="V480" s="2"/>
      <c r="W480" s="2"/>
      <c r="X480" s="2"/>
      <c r="Y480" s="2"/>
      <c r="Z480" s="1"/>
      <c r="AA480" s="1"/>
      <c r="AB480" s="1"/>
      <c r="AC480" s="1"/>
      <c r="AD480" s="1"/>
      <c r="AE480" s="1"/>
      <c r="AF480" s="1"/>
      <c r="AG480" s="1"/>
      <c r="AH480" s="1"/>
      <c r="AI480" s="1"/>
      <c r="AJ480" s="1"/>
      <c r="AK480" s="1"/>
    </row>
    <row r="481" ht="30.0" customHeight="1">
      <c r="A481" s="1"/>
      <c r="B481" s="1"/>
      <c r="C481" s="2"/>
      <c r="D481" s="2"/>
      <c r="E481" s="2"/>
      <c r="F481" s="2"/>
      <c r="G481" s="2"/>
      <c r="H481" s="2"/>
      <c r="I481" s="2"/>
      <c r="J481" s="2"/>
      <c r="K481" s="2"/>
      <c r="L481" s="2"/>
      <c r="M481" s="2"/>
      <c r="N481" s="1"/>
      <c r="O481" s="2"/>
      <c r="P481" s="2"/>
      <c r="Q481" s="2"/>
      <c r="R481" s="2"/>
      <c r="S481" s="2"/>
      <c r="T481" s="2"/>
      <c r="U481" s="2"/>
      <c r="V481" s="2"/>
      <c r="W481" s="2"/>
      <c r="X481" s="2"/>
      <c r="Y481" s="2"/>
      <c r="Z481" s="1"/>
      <c r="AA481" s="1"/>
      <c r="AB481" s="1"/>
      <c r="AC481" s="1"/>
      <c r="AD481" s="1"/>
      <c r="AE481" s="1"/>
      <c r="AF481" s="1"/>
      <c r="AG481" s="1"/>
      <c r="AH481" s="1"/>
      <c r="AI481" s="1"/>
      <c r="AJ481" s="1"/>
      <c r="AK481" s="1"/>
    </row>
    <row r="482" ht="30.0" customHeight="1">
      <c r="A482" s="1"/>
      <c r="B482" s="1"/>
      <c r="C482" s="2"/>
      <c r="D482" s="2"/>
      <c r="E482" s="2"/>
      <c r="F482" s="2"/>
      <c r="G482" s="2"/>
      <c r="H482" s="2"/>
      <c r="I482" s="2"/>
      <c r="J482" s="2"/>
      <c r="K482" s="2"/>
      <c r="L482" s="2"/>
      <c r="M482" s="2"/>
      <c r="N482" s="1"/>
      <c r="O482" s="2"/>
      <c r="P482" s="2"/>
      <c r="Q482" s="2"/>
      <c r="R482" s="2"/>
      <c r="S482" s="2"/>
      <c r="T482" s="2"/>
      <c r="U482" s="2"/>
      <c r="V482" s="2"/>
      <c r="W482" s="2"/>
      <c r="X482" s="2"/>
      <c r="Y482" s="2"/>
      <c r="Z482" s="1"/>
      <c r="AA482" s="1"/>
      <c r="AB482" s="1"/>
      <c r="AC482" s="1"/>
      <c r="AD482" s="1"/>
      <c r="AE482" s="1"/>
      <c r="AF482" s="1"/>
      <c r="AG482" s="1"/>
      <c r="AH482" s="1"/>
      <c r="AI482" s="1"/>
      <c r="AJ482" s="1"/>
      <c r="AK482" s="1"/>
    </row>
    <row r="483" ht="30.0" customHeight="1">
      <c r="A483" s="1"/>
      <c r="B483" s="1"/>
      <c r="C483" s="2"/>
      <c r="D483" s="2"/>
      <c r="E483" s="2"/>
      <c r="F483" s="2"/>
      <c r="G483" s="2"/>
      <c r="H483" s="2"/>
      <c r="I483" s="2"/>
      <c r="J483" s="2"/>
      <c r="K483" s="2"/>
      <c r="L483" s="2"/>
      <c r="M483" s="2"/>
      <c r="N483" s="1"/>
      <c r="O483" s="2"/>
      <c r="P483" s="2"/>
      <c r="Q483" s="2"/>
      <c r="R483" s="2"/>
      <c r="S483" s="2"/>
      <c r="T483" s="2"/>
      <c r="U483" s="2"/>
      <c r="V483" s="2"/>
      <c r="W483" s="2"/>
      <c r="X483" s="2"/>
      <c r="Y483" s="2"/>
      <c r="Z483" s="1"/>
      <c r="AA483" s="1"/>
      <c r="AB483" s="1"/>
      <c r="AC483" s="1"/>
      <c r="AD483" s="1"/>
      <c r="AE483" s="1"/>
      <c r="AF483" s="1"/>
      <c r="AG483" s="1"/>
      <c r="AH483" s="1"/>
      <c r="AI483" s="1"/>
      <c r="AJ483" s="1"/>
      <c r="AK483" s="1"/>
    </row>
    <row r="484" ht="30.0" customHeight="1">
      <c r="A484" s="1"/>
      <c r="B484" s="1"/>
      <c r="C484" s="2"/>
      <c r="D484" s="2"/>
      <c r="E484" s="2"/>
      <c r="F484" s="2"/>
      <c r="G484" s="2"/>
      <c r="H484" s="2"/>
      <c r="I484" s="2"/>
      <c r="J484" s="2"/>
      <c r="K484" s="2"/>
      <c r="L484" s="2"/>
      <c r="M484" s="2"/>
      <c r="N484" s="1"/>
      <c r="O484" s="2"/>
      <c r="P484" s="2"/>
      <c r="Q484" s="2"/>
      <c r="R484" s="2"/>
      <c r="S484" s="2"/>
      <c r="T484" s="2"/>
      <c r="U484" s="2"/>
      <c r="V484" s="2"/>
      <c r="W484" s="2"/>
      <c r="X484" s="2"/>
      <c r="Y484" s="2"/>
      <c r="Z484" s="1"/>
      <c r="AA484" s="1"/>
      <c r="AB484" s="1"/>
      <c r="AC484" s="1"/>
      <c r="AD484" s="1"/>
      <c r="AE484" s="1"/>
      <c r="AF484" s="1"/>
      <c r="AG484" s="1"/>
      <c r="AH484" s="1"/>
      <c r="AI484" s="1"/>
      <c r="AJ484" s="1"/>
      <c r="AK484" s="1"/>
    </row>
    <row r="485" ht="30.0" customHeight="1">
      <c r="A485" s="1"/>
      <c r="B485" s="1"/>
      <c r="C485" s="2"/>
      <c r="D485" s="2"/>
      <c r="E485" s="2"/>
      <c r="F485" s="2"/>
      <c r="G485" s="2"/>
      <c r="H485" s="2"/>
      <c r="I485" s="2"/>
      <c r="J485" s="2"/>
      <c r="K485" s="2"/>
      <c r="L485" s="2"/>
      <c r="M485" s="2"/>
      <c r="N485" s="1"/>
      <c r="O485" s="2"/>
      <c r="P485" s="2"/>
      <c r="Q485" s="2"/>
      <c r="R485" s="2"/>
      <c r="S485" s="2"/>
      <c r="T485" s="2"/>
      <c r="U485" s="2"/>
      <c r="V485" s="2"/>
      <c r="W485" s="2"/>
      <c r="X485" s="2"/>
      <c r="Y485" s="2"/>
      <c r="Z485" s="1"/>
      <c r="AA485" s="1"/>
      <c r="AB485" s="1"/>
      <c r="AC485" s="1"/>
      <c r="AD485" s="1"/>
      <c r="AE485" s="1"/>
      <c r="AF485" s="1"/>
      <c r="AG485" s="1"/>
      <c r="AH485" s="1"/>
      <c r="AI485" s="1"/>
      <c r="AJ485" s="1"/>
      <c r="AK485" s="1"/>
    </row>
    <row r="486" ht="30.0" customHeight="1">
      <c r="A486" s="1"/>
      <c r="B486" s="1"/>
      <c r="C486" s="2"/>
      <c r="D486" s="2"/>
      <c r="E486" s="2"/>
      <c r="F486" s="2"/>
      <c r="G486" s="2"/>
      <c r="H486" s="2"/>
      <c r="I486" s="2"/>
      <c r="J486" s="2"/>
      <c r="K486" s="2"/>
      <c r="L486" s="2"/>
      <c r="M486" s="2"/>
      <c r="N486" s="1"/>
      <c r="O486" s="2"/>
      <c r="P486" s="2"/>
      <c r="Q486" s="2"/>
      <c r="R486" s="2"/>
      <c r="S486" s="2"/>
      <c r="T486" s="2"/>
      <c r="U486" s="2"/>
      <c r="V486" s="2"/>
      <c r="W486" s="2"/>
      <c r="X486" s="2"/>
      <c r="Y486" s="2"/>
      <c r="Z486" s="1"/>
      <c r="AA486" s="1"/>
      <c r="AB486" s="1"/>
      <c r="AC486" s="1"/>
      <c r="AD486" s="1"/>
      <c r="AE486" s="1"/>
      <c r="AF486" s="1"/>
      <c r="AG486" s="1"/>
      <c r="AH486" s="1"/>
      <c r="AI486" s="1"/>
      <c r="AJ486" s="1"/>
      <c r="AK486" s="1"/>
    </row>
    <row r="487" ht="30.0" customHeight="1">
      <c r="A487" s="1"/>
      <c r="B487" s="1"/>
      <c r="C487" s="2"/>
      <c r="D487" s="2"/>
      <c r="E487" s="2"/>
      <c r="F487" s="2"/>
      <c r="G487" s="2"/>
      <c r="H487" s="2"/>
      <c r="I487" s="2"/>
      <c r="J487" s="2"/>
      <c r="K487" s="2"/>
      <c r="L487" s="2"/>
      <c r="M487" s="2"/>
      <c r="N487" s="1"/>
      <c r="O487" s="2"/>
      <c r="P487" s="2"/>
      <c r="Q487" s="2"/>
      <c r="R487" s="2"/>
      <c r="S487" s="2"/>
      <c r="T487" s="2"/>
      <c r="U487" s="2"/>
      <c r="V487" s="2"/>
      <c r="W487" s="2"/>
      <c r="X487" s="2"/>
      <c r="Y487" s="2"/>
      <c r="Z487" s="1"/>
      <c r="AA487" s="1"/>
      <c r="AB487" s="1"/>
      <c r="AC487" s="1"/>
      <c r="AD487" s="1"/>
      <c r="AE487" s="1"/>
      <c r="AF487" s="1"/>
      <c r="AG487" s="1"/>
      <c r="AH487" s="1"/>
      <c r="AI487" s="1"/>
      <c r="AJ487" s="1"/>
      <c r="AK487" s="1"/>
    </row>
    <row r="488" ht="30.0" customHeight="1">
      <c r="A488" s="1"/>
      <c r="B488" s="1"/>
      <c r="C488" s="2"/>
      <c r="D488" s="2"/>
      <c r="E488" s="2"/>
      <c r="F488" s="2"/>
      <c r="G488" s="2"/>
      <c r="H488" s="2"/>
      <c r="I488" s="2"/>
      <c r="J488" s="2"/>
      <c r="K488" s="2"/>
      <c r="L488" s="2"/>
      <c r="M488" s="2"/>
      <c r="N488" s="1"/>
      <c r="O488" s="2"/>
      <c r="P488" s="2"/>
      <c r="Q488" s="2"/>
      <c r="R488" s="2"/>
      <c r="S488" s="2"/>
      <c r="T488" s="2"/>
      <c r="U488" s="2"/>
      <c r="V488" s="2"/>
      <c r="W488" s="2"/>
      <c r="X488" s="2"/>
      <c r="Y488" s="2"/>
      <c r="Z488" s="1"/>
      <c r="AA488" s="1"/>
      <c r="AB488" s="1"/>
      <c r="AC488" s="1"/>
      <c r="AD488" s="1"/>
      <c r="AE488" s="1"/>
      <c r="AF488" s="1"/>
      <c r="AG488" s="1"/>
      <c r="AH488" s="1"/>
      <c r="AI488" s="1"/>
      <c r="AJ488" s="1"/>
      <c r="AK488" s="1"/>
    </row>
    <row r="489" ht="30.0" customHeight="1">
      <c r="A489" s="1"/>
      <c r="B489" s="1"/>
      <c r="C489" s="2"/>
      <c r="D489" s="2"/>
      <c r="E489" s="2"/>
      <c r="F489" s="2"/>
      <c r="G489" s="2"/>
      <c r="H489" s="2"/>
      <c r="I489" s="2"/>
      <c r="J489" s="2"/>
      <c r="K489" s="2"/>
      <c r="L489" s="2"/>
      <c r="M489" s="2"/>
      <c r="N489" s="1"/>
      <c r="O489" s="2"/>
      <c r="P489" s="2"/>
      <c r="Q489" s="2"/>
      <c r="R489" s="2"/>
      <c r="S489" s="2"/>
      <c r="T489" s="2"/>
      <c r="U489" s="2"/>
      <c r="V489" s="2"/>
      <c r="W489" s="2"/>
      <c r="X489" s="2"/>
      <c r="Y489" s="2"/>
      <c r="Z489" s="1"/>
      <c r="AA489" s="1"/>
      <c r="AB489" s="1"/>
      <c r="AC489" s="1"/>
      <c r="AD489" s="1"/>
      <c r="AE489" s="1"/>
      <c r="AF489" s="1"/>
      <c r="AG489" s="1"/>
      <c r="AH489" s="1"/>
      <c r="AI489" s="1"/>
      <c r="AJ489" s="1"/>
      <c r="AK489" s="1"/>
    </row>
    <row r="490" ht="30.0" customHeight="1">
      <c r="A490" s="1"/>
      <c r="B490" s="1"/>
      <c r="C490" s="2"/>
      <c r="D490" s="2"/>
      <c r="E490" s="2"/>
      <c r="F490" s="2"/>
      <c r="G490" s="2"/>
      <c r="H490" s="2"/>
      <c r="I490" s="2"/>
      <c r="J490" s="2"/>
      <c r="K490" s="2"/>
      <c r="L490" s="2"/>
      <c r="M490" s="2"/>
      <c r="N490" s="1"/>
      <c r="O490" s="2"/>
      <c r="P490" s="2"/>
      <c r="Q490" s="2"/>
      <c r="R490" s="2"/>
      <c r="S490" s="2"/>
      <c r="T490" s="2"/>
      <c r="U490" s="2"/>
      <c r="V490" s="2"/>
      <c r="W490" s="2"/>
      <c r="X490" s="2"/>
      <c r="Y490" s="2"/>
      <c r="Z490" s="1"/>
      <c r="AA490" s="1"/>
      <c r="AB490" s="1"/>
      <c r="AC490" s="1"/>
      <c r="AD490" s="1"/>
      <c r="AE490" s="1"/>
      <c r="AF490" s="1"/>
      <c r="AG490" s="1"/>
      <c r="AH490" s="1"/>
      <c r="AI490" s="1"/>
      <c r="AJ490" s="1"/>
      <c r="AK490" s="1"/>
    </row>
    <row r="491" ht="30.0" customHeight="1">
      <c r="A491" s="1"/>
      <c r="B491" s="1"/>
      <c r="C491" s="2"/>
      <c r="D491" s="2"/>
      <c r="E491" s="2"/>
      <c r="F491" s="2"/>
      <c r="G491" s="2"/>
      <c r="H491" s="2"/>
      <c r="I491" s="2"/>
      <c r="J491" s="2"/>
      <c r="K491" s="2"/>
      <c r="L491" s="2"/>
      <c r="M491" s="2"/>
      <c r="N491" s="1"/>
      <c r="O491" s="2"/>
      <c r="P491" s="2"/>
      <c r="Q491" s="2"/>
      <c r="R491" s="2"/>
      <c r="S491" s="2"/>
      <c r="T491" s="2"/>
      <c r="U491" s="2"/>
      <c r="V491" s="2"/>
      <c r="W491" s="2"/>
      <c r="X491" s="2"/>
      <c r="Y491" s="2"/>
      <c r="Z491" s="1"/>
      <c r="AA491" s="1"/>
      <c r="AB491" s="1"/>
      <c r="AC491" s="1"/>
      <c r="AD491" s="1"/>
      <c r="AE491" s="1"/>
      <c r="AF491" s="1"/>
      <c r="AG491" s="1"/>
      <c r="AH491" s="1"/>
      <c r="AI491" s="1"/>
      <c r="AJ491" s="1"/>
      <c r="AK491" s="1"/>
    </row>
    <row r="492" ht="30.0" customHeight="1">
      <c r="A492" s="1"/>
      <c r="B492" s="1"/>
      <c r="C492" s="2"/>
      <c r="D492" s="2"/>
      <c r="E492" s="2"/>
      <c r="F492" s="2"/>
      <c r="G492" s="2"/>
      <c r="H492" s="2"/>
      <c r="I492" s="2"/>
      <c r="J492" s="2"/>
      <c r="K492" s="2"/>
      <c r="L492" s="2"/>
      <c r="M492" s="2"/>
      <c r="N492" s="1"/>
      <c r="O492" s="2"/>
      <c r="P492" s="2"/>
      <c r="Q492" s="2"/>
      <c r="R492" s="2"/>
      <c r="S492" s="2"/>
      <c r="T492" s="2"/>
      <c r="U492" s="2"/>
      <c r="V492" s="2"/>
      <c r="W492" s="2"/>
      <c r="X492" s="2"/>
      <c r="Y492" s="2"/>
      <c r="Z492" s="1"/>
      <c r="AA492" s="1"/>
      <c r="AB492" s="1"/>
      <c r="AC492" s="1"/>
      <c r="AD492" s="1"/>
      <c r="AE492" s="1"/>
      <c r="AF492" s="1"/>
      <c r="AG492" s="1"/>
      <c r="AH492" s="1"/>
      <c r="AI492" s="1"/>
      <c r="AJ492" s="1"/>
      <c r="AK492" s="1"/>
    </row>
    <row r="493" ht="30.0" customHeight="1">
      <c r="A493" s="1"/>
      <c r="B493" s="1"/>
      <c r="C493" s="2"/>
      <c r="D493" s="2"/>
      <c r="E493" s="2"/>
      <c r="F493" s="2"/>
      <c r="G493" s="2"/>
      <c r="H493" s="2"/>
      <c r="I493" s="2"/>
      <c r="J493" s="2"/>
      <c r="K493" s="2"/>
      <c r="L493" s="2"/>
      <c r="M493" s="2"/>
      <c r="N493" s="1"/>
      <c r="O493" s="2"/>
      <c r="P493" s="2"/>
      <c r="Q493" s="2"/>
      <c r="R493" s="2"/>
      <c r="S493" s="2"/>
      <c r="T493" s="2"/>
      <c r="U493" s="2"/>
      <c r="V493" s="2"/>
      <c r="W493" s="2"/>
      <c r="X493" s="2"/>
      <c r="Y493" s="2"/>
      <c r="Z493" s="1"/>
      <c r="AA493" s="1"/>
      <c r="AB493" s="1"/>
      <c r="AC493" s="1"/>
      <c r="AD493" s="1"/>
      <c r="AE493" s="1"/>
      <c r="AF493" s="1"/>
      <c r="AG493" s="1"/>
      <c r="AH493" s="1"/>
      <c r="AI493" s="1"/>
      <c r="AJ493" s="1"/>
      <c r="AK493" s="1"/>
    </row>
    <row r="494" ht="30.0" customHeight="1">
      <c r="A494" s="1"/>
      <c r="B494" s="1"/>
      <c r="C494" s="2"/>
      <c r="D494" s="2"/>
      <c r="E494" s="2"/>
      <c r="F494" s="2"/>
      <c r="G494" s="2"/>
      <c r="H494" s="2"/>
      <c r="I494" s="2"/>
      <c r="J494" s="2"/>
      <c r="K494" s="2"/>
      <c r="L494" s="2"/>
      <c r="M494" s="2"/>
      <c r="N494" s="1"/>
      <c r="O494" s="2"/>
      <c r="P494" s="2"/>
      <c r="Q494" s="2"/>
      <c r="R494" s="2"/>
      <c r="S494" s="2"/>
      <c r="T494" s="2"/>
      <c r="U494" s="2"/>
      <c r="V494" s="2"/>
      <c r="W494" s="2"/>
      <c r="X494" s="2"/>
      <c r="Y494" s="2"/>
      <c r="Z494" s="1"/>
      <c r="AA494" s="1"/>
      <c r="AB494" s="1"/>
      <c r="AC494" s="1"/>
      <c r="AD494" s="1"/>
      <c r="AE494" s="1"/>
      <c r="AF494" s="1"/>
      <c r="AG494" s="1"/>
      <c r="AH494" s="1"/>
      <c r="AI494" s="1"/>
      <c r="AJ494" s="1"/>
      <c r="AK494" s="1"/>
    </row>
    <row r="495" ht="30.0" customHeight="1">
      <c r="A495" s="1"/>
      <c r="B495" s="1"/>
      <c r="C495" s="2"/>
      <c r="D495" s="2"/>
      <c r="E495" s="2"/>
      <c r="F495" s="2"/>
      <c r="G495" s="2"/>
      <c r="H495" s="2"/>
      <c r="I495" s="2"/>
      <c r="J495" s="2"/>
      <c r="K495" s="2"/>
      <c r="L495" s="2"/>
      <c r="M495" s="2"/>
      <c r="N495" s="1"/>
      <c r="O495" s="2"/>
      <c r="P495" s="2"/>
      <c r="Q495" s="2"/>
      <c r="R495" s="2"/>
      <c r="S495" s="2"/>
      <c r="T495" s="2"/>
      <c r="U495" s="2"/>
      <c r="V495" s="2"/>
      <c r="W495" s="2"/>
      <c r="X495" s="2"/>
      <c r="Y495" s="2"/>
      <c r="Z495" s="1"/>
      <c r="AA495" s="1"/>
      <c r="AB495" s="1"/>
      <c r="AC495" s="1"/>
      <c r="AD495" s="1"/>
      <c r="AE495" s="1"/>
      <c r="AF495" s="1"/>
      <c r="AG495" s="1"/>
      <c r="AH495" s="1"/>
      <c r="AI495" s="1"/>
      <c r="AJ495" s="1"/>
      <c r="AK495" s="1"/>
    </row>
    <row r="496" ht="30.0" customHeight="1">
      <c r="A496" s="1"/>
      <c r="B496" s="1"/>
      <c r="C496" s="2"/>
      <c r="D496" s="2"/>
      <c r="E496" s="2"/>
      <c r="F496" s="2"/>
      <c r="G496" s="2"/>
      <c r="H496" s="2"/>
      <c r="I496" s="2"/>
      <c r="J496" s="2"/>
      <c r="K496" s="2"/>
      <c r="L496" s="2"/>
      <c r="M496" s="2"/>
      <c r="N496" s="1"/>
      <c r="O496" s="2"/>
      <c r="P496" s="2"/>
      <c r="Q496" s="2"/>
      <c r="R496" s="2"/>
      <c r="S496" s="2"/>
      <c r="T496" s="2"/>
      <c r="U496" s="2"/>
      <c r="V496" s="2"/>
      <c r="W496" s="2"/>
      <c r="X496" s="2"/>
      <c r="Y496" s="2"/>
      <c r="Z496" s="1"/>
      <c r="AA496" s="1"/>
      <c r="AB496" s="1"/>
      <c r="AC496" s="1"/>
      <c r="AD496" s="1"/>
      <c r="AE496" s="1"/>
      <c r="AF496" s="1"/>
      <c r="AG496" s="1"/>
      <c r="AH496" s="1"/>
      <c r="AI496" s="1"/>
      <c r="AJ496" s="1"/>
      <c r="AK496" s="1"/>
    </row>
    <row r="497" ht="30.0" customHeight="1">
      <c r="A497" s="1"/>
      <c r="B497" s="1"/>
      <c r="C497" s="2"/>
      <c r="D497" s="2"/>
      <c r="E497" s="2"/>
      <c r="F497" s="2"/>
      <c r="G497" s="2"/>
      <c r="H497" s="2"/>
      <c r="I497" s="2"/>
      <c r="J497" s="2"/>
      <c r="K497" s="2"/>
      <c r="L497" s="2"/>
      <c r="M497" s="2"/>
      <c r="N497" s="1"/>
      <c r="O497" s="2"/>
      <c r="P497" s="2"/>
      <c r="Q497" s="2"/>
      <c r="R497" s="2"/>
      <c r="S497" s="2"/>
      <c r="T497" s="2"/>
      <c r="U497" s="2"/>
      <c r="V497" s="2"/>
      <c r="W497" s="2"/>
      <c r="X497" s="2"/>
      <c r="Y497" s="2"/>
      <c r="Z497" s="1"/>
      <c r="AA497" s="1"/>
      <c r="AB497" s="1"/>
      <c r="AC497" s="1"/>
      <c r="AD497" s="1"/>
      <c r="AE497" s="1"/>
      <c r="AF497" s="1"/>
      <c r="AG497" s="1"/>
      <c r="AH497" s="1"/>
      <c r="AI497" s="1"/>
      <c r="AJ497" s="1"/>
      <c r="AK497" s="1"/>
    </row>
    <row r="498" ht="30.0" customHeight="1">
      <c r="A498" s="1"/>
      <c r="B498" s="1"/>
      <c r="C498" s="2"/>
      <c r="D498" s="2"/>
      <c r="E498" s="2"/>
      <c r="F498" s="2"/>
      <c r="G498" s="2"/>
      <c r="H498" s="2"/>
      <c r="I498" s="2"/>
      <c r="J498" s="2"/>
      <c r="K498" s="2"/>
      <c r="L498" s="2"/>
      <c r="M498" s="2"/>
      <c r="N498" s="1"/>
      <c r="O498" s="2"/>
      <c r="P498" s="2"/>
      <c r="Q498" s="2"/>
      <c r="R498" s="2"/>
      <c r="S498" s="2"/>
      <c r="T498" s="2"/>
      <c r="U498" s="2"/>
      <c r="V498" s="2"/>
      <c r="W498" s="2"/>
      <c r="X498" s="2"/>
      <c r="Y498" s="2"/>
      <c r="Z498" s="1"/>
      <c r="AA498" s="1"/>
      <c r="AB498" s="1"/>
      <c r="AC498" s="1"/>
      <c r="AD498" s="1"/>
      <c r="AE498" s="1"/>
      <c r="AF498" s="1"/>
      <c r="AG498" s="1"/>
      <c r="AH498" s="1"/>
      <c r="AI498" s="1"/>
      <c r="AJ498" s="1"/>
      <c r="AK498" s="1"/>
    </row>
    <row r="499" ht="30.0" customHeight="1">
      <c r="A499" s="1"/>
      <c r="B499" s="1"/>
      <c r="C499" s="2"/>
      <c r="D499" s="2"/>
      <c r="E499" s="2"/>
      <c r="F499" s="2"/>
      <c r="G499" s="2"/>
      <c r="H499" s="2"/>
      <c r="I499" s="2"/>
      <c r="J499" s="2"/>
      <c r="K499" s="2"/>
      <c r="L499" s="2"/>
      <c r="M499" s="2"/>
      <c r="N499" s="1"/>
      <c r="O499" s="2"/>
      <c r="P499" s="2"/>
      <c r="Q499" s="2"/>
      <c r="R499" s="2"/>
      <c r="S499" s="2"/>
      <c r="T499" s="2"/>
      <c r="U499" s="2"/>
      <c r="V499" s="2"/>
      <c r="W499" s="2"/>
      <c r="X499" s="2"/>
      <c r="Y499" s="2"/>
      <c r="Z499" s="1"/>
      <c r="AA499" s="1"/>
      <c r="AB499" s="1"/>
      <c r="AC499" s="1"/>
      <c r="AD499" s="1"/>
      <c r="AE499" s="1"/>
      <c r="AF499" s="1"/>
      <c r="AG499" s="1"/>
      <c r="AH499" s="1"/>
      <c r="AI499" s="1"/>
      <c r="AJ499" s="1"/>
      <c r="AK499" s="1"/>
    </row>
    <row r="500" ht="30.0" customHeight="1">
      <c r="A500" s="1"/>
      <c r="B500" s="1"/>
      <c r="C500" s="2"/>
      <c r="D500" s="2"/>
      <c r="E500" s="2"/>
      <c r="F500" s="2"/>
      <c r="G500" s="2"/>
      <c r="H500" s="2"/>
      <c r="I500" s="2"/>
      <c r="J500" s="2"/>
      <c r="K500" s="2"/>
      <c r="L500" s="2"/>
      <c r="M500" s="2"/>
      <c r="N500" s="1"/>
      <c r="O500" s="2"/>
      <c r="P500" s="2"/>
      <c r="Q500" s="2"/>
      <c r="R500" s="2"/>
      <c r="S500" s="2"/>
      <c r="T500" s="2"/>
      <c r="U500" s="2"/>
      <c r="V500" s="2"/>
      <c r="W500" s="2"/>
      <c r="X500" s="2"/>
      <c r="Y500" s="2"/>
      <c r="Z500" s="1"/>
      <c r="AA500" s="1"/>
      <c r="AB500" s="1"/>
      <c r="AC500" s="1"/>
      <c r="AD500" s="1"/>
      <c r="AE500" s="1"/>
      <c r="AF500" s="1"/>
      <c r="AG500" s="1"/>
      <c r="AH500" s="1"/>
      <c r="AI500" s="1"/>
      <c r="AJ500" s="1"/>
      <c r="AK500" s="1"/>
    </row>
    <row r="501" ht="30.0" customHeight="1">
      <c r="A501" s="1"/>
      <c r="B501" s="1"/>
      <c r="C501" s="2"/>
      <c r="D501" s="2"/>
      <c r="E501" s="2"/>
      <c r="F501" s="2"/>
      <c r="G501" s="2"/>
      <c r="H501" s="2"/>
      <c r="I501" s="2"/>
      <c r="J501" s="2"/>
      <c r="K501" s="2"/>
      <c r="L501" s="2"/>
      <c r="M501" s="2"/>
      <c r="N501" s="1"/>
      <c r="O501" s="2"/>
      <c r="P501" s="2"/>
      <c r="Q501" s="2"/>
      <c r="R501" s="2"/>
      <c r="S501" s="2"/>
      <c r="T501" s="2"/>
      <c r="U501" s="2"/>
      <c r="V501" s="2"/>
      <c r="W501" s="2"/>
      <c r="X501" s="2"/>
      <c r="Y501" s="2"/>
      <c r="Z501" s="1"/>
      <c r="AA501" s="1"/>
      <c r="AB501" s="1"/>
      <c r="AC501" s="1"/>
      <c r="AD501" s="1"/>
      <c r="AE501" s="1"/>
      <c r="AF501" s="1"/>
      <c r="AG501" s="1"/>
      <c r="AH501" s="1"/>
      <c r="AI501" s="1"/>
      <c r="AJ501" s="1"/>
      <c r="AK501" s="1"/>
    </row>
    <row r="502" ht="30.0" customHeight="1">
      <c r="A502" s="1"/>
      <c r="B502" s="1"/>
      <c r="C502" s="2"/>
      <c r="D502" s="2"/>
      <c r="E502" s="2"/>
      <c r="F502" s="2"/>
      <c r="G502" s="2"/>
      <c r="H502" s="2"/>
      <c r="I502" s="2"/>
      <c r="J502" s="2"/>
      <c r="K502" s="2"/>
      <c r="L502" s="2"/>
      <c r="M502" s="2"/>
      <c r="N502" s="1"/>
      <c r="O502" s="2"/>
      <c r="P502" s="2"/>
      <c r="Q502" s="2"/>
      <c r="R502" s="2"/>
      <c r="S502" s="2"/>
      <c r="T502" s="2"/>
      <c r="U502" s="2"/>
      <c r="V502" s="2"/>
      <c r="W502" s="2"/>
      <c r="X502" s="2"/>
      <c r="Y502" s="2"/>
      <c r="Z502" s="1"/>
      <c r="AA502" s="1"/>
      <c r="AB502" s="1"/>
      <c r="AC502" s="1"/>
      <c r="AD502" s="1"/>
      <c r="AE502" s="1"/>
      <c r="AF502" s="1"/>
      <c r="AG502" s="1"/>
      <c r="AH502" s="1"/>
      <c r="AI502" s="1"/>
      <c r="AJ502" s="1"/>
      <c r="AK502" s="1"/>
    </row>
    <row r="503" ht="30.0" customHeight="1">
      <c r="A503" s="1"/>
      <c r="B503" s="1"/>
      <c r="C503" s="2"/>
      <c r="D503" s="2"/>
      <c r="E503" s="2"/>
      <c r="F503" s="2"/>
      <c r="G503" s="2"/>
      <c r="H503" s="2"/>
      <c r="I503" s="2"/>
      <c r="J503" s="2"/>
      <c r="K503" s="2"/>
      <c r="L503" s="2"/>
      <c r="M503" s="2"/>
      <c r="N503" s="1"/>
      <c r="O503" s="2"/>
      <c r="P503" s="2"/>
      <c r="Q503" s="2"/>
      <c r="R503" s="2"/>
      <c r="S503" s="2"/>
      <c r="T503" s="2"/>
      <c r="U503" s="2"/>
      <c r="V503" s="2"/>
      <c r="W503" s="2"/>
      <c r="X503" s="2"/>
      <c r="Y503" s="2"/>
      <c r="Z503" s="1"/>
      <c r="AA503" s="1"/>
      <c r="AB503" s="1"/>
      <c r="AC503" s="1"/>
      <c r="AD503" s="1"/>
      <c r="AE503" s="1"/>
      <c r="AF503" s="1"/>
      <c r="AG503" s="1"/>
      <c r="AH503" s="1"/>
      <c r="AI503" s="1"/>
      <c r="AJ503" s="1"/>
      <c r="AK503" s="1"/>
    </row>
    <row r="504" ht="30.0" customHeight="1">
      <c r="A504" s="1"/>
      <c r="B504" s="1"/>
      <c r="C504" s="2"/>
      <c r="D504" s="2"/>
      <c r="E504" s="2"/>
      <c r="F504" s="2"/>
      <c r="G504" s="2"/>
      <c r="H504" s="2"/>
      <c r="I504" s="2"/>
      <c r="J504" s="2"/>
      <c r="K504" s="2"/>
      <c r="L504" s="2"/>
      <c r="M504" s="2"/>
      <c r="N504" s="1"/>
      <c r="O504" s="2"/>
      <c r="P504" s="2"/>
      <c r="Q504" s="2"/>
      <c r="R504" s="2"/>
      <c r="S504" s="2"/>
      <c r="T504" s="2"/>
      <c r="U504" s="2"/>
      <c r="V504" s="2"/>
      <c r="W504" s="2"/>
      <c r="X504" s="2"/>
      <c r="Y504" s="2"/>
      <c r="Z504" s="1"/>
      <c r="AA504" s="1"/>
      <c r="AB504" s="1"/>
      <c r="AC504" s="1"/>
      <c r="AD504" s="1"/>
      <c r="AE504" s="1"/>
      <c r="AF504" s="1"/>
      <c r="AG504" s="1"/>
      <c r="AH504" s="1"/>
      <c r="AI504" s="1"/>
      <c r="AJ504" s="1"/>
      <c r="AK504" s="1"/>
    </row>
    <row r="505" ht="30.0" customHeight="1">
      <c r="A505" s="1"/>
      <c r="B505" s="1"/>
      <c r="C505" s="2"/>
      <c r="D505" s="2"/>
      <c r="E505" s="2"/>
      <c r="F505" s="2"/>
      <c r="G505" s="2"/>
      <c r="H505" s="2"/>
      <c r="I505" s="2"/>
      <c r="J505" s="2"/>
      <c r="K505" s="2"/>
      <c r="L505" s="2"/>
      <c r="M505" s="2"/>
      <c r="N505" s="1"/>
      <c r="O505" s="2"/>
      <c r="P505" s="2"/>
      <c r="Q505" s="2"/>
      <c r="R505" s="2"/>
      <c r="S505" s="2"/>
      <c r="T505" s="2"/>
      <c r="U505" s="2"/>
      <c r="V505" s="2"/>
      <c r="W505" s="2"/>
      <c r="X505" s="2"/>
      <c r="Y505" s="2"/>
      <c r="Z505" s="1"/>
      <c r="AA505" s="1"/>
      <c r="AB505" s="1"/>
      <c r="AC505" s="1"/>
      <c r="AD505" s="1"/>
      <c r="AE505" s="1"/>
      <c r="AF505" s="1"/>
      <c r="AG505" s="1"/>
      <c r="AH505" s="1"/>
      <c r="AI505" s="1"/>
      <c r="AJ505" s="1"/>
      <c r="AK505" s="1"/>
    </row>
    <row r="506" ht="30.0" customHeight="1">
      <c r="A506" s="1"/>
      <c r="B506" s="1"/>
      <c r="C506" s="2"/>
      <c r="D506" s="2"/>
      <c r="E506" s="2"/>
      <c r="F506" s="2"/>
      <c r="G506" s="2"/>
      <c r="H506" s="2"/>
      <c r="I506" s="2"/>
      <c r="J506" s="2"/>
      <c r="K506" s="2"/>
      <c r="L506" s="2"/>
      <c r="M506" s="2"/>
      <c r="N506" s="1"/>
      <c r="O506" s="2"/>
      <c r="P506" s="2"/>
      <c r="Q506" s="2"/>
      <c r="R506" s="2"/>
      <c r="S506" s="2"/>
      <c r="T506" s="2"/>
      <c r="U506" s="2"/>
      <c r="V506" s="2"/>
      <c r="W506" s="2"/>
      <c r="X506" s="2"/>
      <c r="Y506" s="2"/>
      <c r="Z506" s="1"/>
      <c r="AA506" s="1"/>
      <c r="AB506" s="1"/>
      <c r="AC506" s="1"/>
      <c r="AD506" s="1"/>
      <c r="AE506" s="1"/>
      <c r="AF506" s="1"/>
      <c r="AG506" s="1"/>
      <c r="AH506" s="1"/>
      <c r="AI506" s="1"/>
      <c r="AJ506" s="1"/>
      <c r="AK506" s="1"/>
    </row>
    <row r="507" ht="30.0" customHeight="1">
      <c r="A507" s="1"/>
      <c r="B507" s="1"/>
      <c r="C507" s="2"/>
      <c r="D507" s="2"/>
      <c r="E507" s="2"/>
      <c r="F507" s="2"/>
      <c r="G507" s="2"/>
      <c r="H507" s="2"/>
      <c r="I507" s="2"/>
      <c r="J507" s="2"/>
      <c r="K507" s="2"/>
      <c r="L507" s="2"/>
      <c r="M507" s="2"/>
      <c r="N507" s="1"/>
      <c r="O507" s="2"/>
      <c r="P507" s="2"/>
      <c r="Q507" s="2"/>
      <c r="R507" s="2"/>
      <c r="S507" s="2"/>
      <c r="T507" s="2"/>
      <c r="U507" s="2"/>
      <c r="V507" s="2"/>
      <c r="W507" s="2"/>
      <c r="X507" s="2"/>
      <c r="Y507" s="2"/>
      <c r="Z507" s="1"/>
      <c r="AA507" s="1"/>
      <c r="AB507" s="1"/>
      <c r="AC507" s="1"/>
      <c r="AD507" s="1"/>
      <c r="AE507" s="1"/>
      <c r="AF507" s="1"/>
      <c r="AG507" s="1"/>
      <c r="AH507" s="1"/>
      <c r="AI507" s="1"/>
      <c r="AJ507" s="1"/>
      <c r="AK507" s="1"/>
    </row>
    <row r="508" ht="30.0" customHeight="1">
      <c r="A508" s="1"/>
      <c r="B508" s="1"/>
      <c r="C508" s="2"/>
      <c r="D508" s="2"/>
      <c r="E508" s="2"/>
      <c r="F508" s="2"/>
      <c r="G508" s="2"/>
      <c r="H508" s="2"/>
      <c r="I508" s="2"/>
      <c r="J508" s="2"/>
      <c r="K508" s="2"/>
      <c r="L508" s="2"/>
      <c r="M508" s="2"/>
      <c r="N508" s="1"/>
      <c r="O508" s="2"/>
      <c r="P508" s="2"/>
      <c r="Q508" s="2"/>
      <c r="R508" s="2"/>
      <c r="S508" s="2"/>
      <c r="T508" s="2"/>
      <c r="U508" s="2"/>
      <c r="V508" s="2"/>
      <c r="W508" s="2"/>
      <c r="X508" s="2"/>
      <c r="Y508" s="2"/>
      <c r="Z508" s="1"/>
      <c r="AA508" s="1"/>
      <c r="AB508" s="1"/>
      <c r="AC508" s="1"/>
      <c r="AD508" s="1"/>
      <c r="AE508" s="1"/>
      <c r="AF508" s="1"/>
      <c r="AG508" s="1"/>
      <c r="AH508" s="1"/>
      <c r="AI508" s="1"/>
      <c r="AJ508" s="1"/>
      <c r="AK508" s="1"/>
    </row>
    <row r="509" ht="30.0" customHeight="1">
      <c r="A509" s="1"/>
      <c r="B509" s="1"/>
      <c r="C509" s="2"/>
      <c r="D509" s="2"/>
      <c r="E509" s="2"/>
      <c r="F509" s="2"/>
      <c r="G509" s="2"/>
      <c r="H509" s="2"/>
      <c r="I509" s="2"/>
      <c r="J509" s="2"/>
      <c r="K509" s="2"/>
      <c r="L509" s="2"/>
      <c r="M509" s="2"/>
      <c r="N509" s="1"/>
      <c r="O509" s="2"/>
      <c r="P509" s="2"/>
      <c r="Q509" s="2"/>
      <c r="R509" s="2"/>
      <c r="S509" s="2"/>
      <c r="T509" s="2"/>
      <c r="U509" s="2"/>
      <c r="V509" s="2"/>
      <c r="W509" s="2"/>
      <c r="X509" s="2"/>
      <c r="Y509" s="2"/>
      <c r="Z509" s="1"/>
      <c r="AA509" s="1"/>
      <c r="AB509" s="1"/>
      <c r="AC509" s="1"/>
      <c r="AD509" s="1"/>
      <c r="AE509" s="1"/>
      <c r="AF509" s="1"/>
      <c r="AG509" s="1"/>
      <c r="AH509" s="1"/>
      <c r="AI509" s="1"/>
      <c r="AJ509" s="1"/>
      <c r="AK509" s="1"/>
    </row>
    <row r="510" ht="30.0" customHeight="1">
      <c r="A510" s="1"/>
      <c r="B510" s="1"/>
      <c r="C510" s="2"/>
      <c r="D510" s="2"/>
      <c r="E510" s="2"/>
      <c r="F510" s="2"/>
      <c r="G510" s="2"/>
      <c r="H510" s="2"/>
      <c r="I510" s="2"/>
      <c r="J510" s="2"/>
      <c r="K510" s="2"/>
      <c r="L510" s="2"/>
      <c r="M510" s="2"/>
      <c r="N510" s="1"/>
      <c r="O510" s="2"/>
      <c r="P510" s="2"/>
      <c r="Q510" s="2"/>
      <c r="R510" s="2"/>
      <c r="S510" s="2"/>
      <c r="T510" s="2"/>
      <c r="U510" s="2"/>
      <c r="V510" s="2"/>
      <c r="W510" s="2"/>
      <c r="X510" s="2"/>
      <c r="Y510" s="2"/>
      <c r="Z510" s="1"/>
      <c r="AA510" s="1"/>
      <c r="AB510" s="1"/>
      <c r="AC510" s="1"/>
      <c r="AD510" s="1"/>
      <c r="AE510" s="1"/>
      <c r="AF510" s="1"/>
      <c r="AG510" s="1"/>
      <c r="AH510" s="1"/>
      <c r="AI510" s="1"/>
      <c r="AJ510" s="1"/>
      <c r="AK510" s="1"/>
    </row>
    <row r="511" ht="30.0" customHeight="1">
      <c r="A511" s="1"/>
      <c r="B511" s="1"/>
      <c r="C511" s="2"/>
      <c r="D511" s="2"/>
      <c r="E511" s="2"/>
      <c r="F511" s="2"/>
      <c r="G511" s="2"/>
      <c r="H511" s="2"/>
      <c r="I511" s="2"/>
      <c r="J511" s="2"/>
      <c r="K511" s="2"/>
      <c r="L511" s="2"/>
      <c r="M511" s="2"/>
      <c r="N511" s="1"/>
      <c r="O511" s="2"/>
      <c r="P511" s="2"/>
      <c r="Q511" s="2"/>
      <c r="R511" s="2"/>
      <c r="S511" s="2"/>
      <c r="T511" s="2"/>
      <c r="U511" s="2"/>
      <c r="V511" s="2"/>
      <c r="W511" s="2"/>
      <c r="X511" s="2"/>
      <c r="Y511" s="2"/>
      <c r="Z511" s="1"/>
      <c r="AA511" s="1"/>
      <c r="AB511" s="1"/>
      <c r="AC511" s="1"/>
      <c r="AD511" s="1"/>
      <c r="AE511" s="1"/>
      <c r="AF511" s="1"/>
      <c r="AG511" s="1"/>
      <c r="AH511" s="1"/>
      <c r="AI511" s="1"/>
      <c r="AJ511" s="1"/>
      <c r="AK511" s="1"/>
    </row>
    <row r="512" ht="30.0" customHeight="1">
      <c r="A512" s="1"/>
      <c r="B512" s="1"/>
      <c r="C512" s="2"/>
      <c r="D512" s="2"/>
      <c r="E512" s="2"/>
      <c r="F512" s="2"/>
      <c r="G512" s="2"/>
      <c r="H512" s="2"/>
      <c r="I512" s="2"/>
      <c r="J512" s="2"/>
      <c r="K512" s="2"/>
      <c r="L512" s="2"/>
      <c r="M512" s="2"/>
      <c r="N512" s="1"/>
      <c r="O512" s="2"/>
      <c r="P512" s="2"/>
      <c r="Q512" s="2"/>
      <c r="R512" s="2"/>
      <c r="S512" s="2"/>
      <c r="T512" s="2"/>
      <c r="U512" s="2"/>
      <c r="V512" s="2"/>
      <c r="W512" s="2"/>
      <c r="X512" s="2"/>
      <c r="Y512" s="2"/>
      <c r="Z512" s="1"/>
      <c r="AA512" s="1"/>
      <c r="AB512" s="1"/>
      <c r="AC512" s="1"/>
      <c r="AD512" s="1"/>
      <c r="AE512" s="1"/>
      <c r="AF512" s="1"/>
      <c r="AG512" s="1"/>
      <c r="AH512" s="1"/>
      <c r="AI512" s="1"/>
      <c r="AJ512" s="1"/>
      <c r="AK512" s="1"/>
    </row>
    <row r="513" ht="30.0" customHeight="1">
      <c r="A513" s="1"/>
      <c r="B513" s="1"/>
      <c r="C513" s="2"/>
      <c r="D513" s="2"/>
      <c r="E513" s="2"/>
      <c r="F513" s="2"/>
      <c r="G513" s="2"/>
      <c r="H513" s="2"/>
      <c r="I513" s="2"/>
      <c r="J513" s="2"/>
      <c r="K513" s="2"/>
      <c r="L513" s="2"/>
      <c r="M513" s="2"/>
      <c r="N513" s="1"/>
      <c r="O513" s="2"/>
      <c r="P513" s="2"/>
      <c r="Q513" s="2"/>
      <c r="R513" s="2"/>
      <c r="S513" s="2"/>
      <c r="T513" s="2"/>
      <c r="U513" s="2"/>
      <c r="V513" s="2"/>
      <c r="W513" s="2"/>
      <c r="X513" s="2"/>
      <c r="Y513" s="2"/>
      <c r="Z513" s="1"/>
      <c r="AA513" s="1"/>
      <c r="AB513" s="1"/>
      <c r="AC513" s="1"/>
      <c r="AD513" s="1"/>
      <c r="AE513" s="1"/>
      <c r="AF513" s="1"/>
      <c r="AG513" s="1"/>
      <c r="AH513" s="1"/>
      <c r="AI513" s="1"/>
      <c r="AJ513" s="1"/>
      <c r="AK513" s="1"/>
    </row>
    <row r="514" ht="30.0" customHeight="1">
      <c r="A514" s="1"/>
      <c r="B514" s="1"/>
      <c r="C514" s="2"/>
      <c r="D514" s="2"/>
      <c r="E514" s="2"/>
      <c r="F514" s="2"/>
      <c r="G514" s="2"/>
      <c r="H514" s="2"/>
      <c r="I514" s="2"/>
      <c r="J514" s="2"/>
      <c r="K514" s="2"/>
      <c r="L514" s="2"/>
      <c r="M514" s="2"/>
      <c r="N514" s="1"/>
      <c r="O514" s="2"/>
      <c r="P514" s="2"/>
      <c r="Q514" s="2"/>
      <c r="R514" s="2"/>
      <c r="S514" s="2"/>
      <c r="T514" s="2"/>
      <c r="U514" s="2"/>
      <c r="V514" s="2"/>
      <c r="W514" s="2"/>
      <c r="X514" s="2"/>
      <c r="Y514" s="2"/>
      <c r="Z514" s="1"/>
      <c r="AA514" s="1"/>
      <c r="AB514" s="1"/>
      <c r="AC514" s="1"/>
      <c r="AD514" s="1"/>
      <c r="AE514" s="1"/>
      <c r="AF514" s="1"/>
      <c r="AG514" s="1"/>
      <c r="AH514" s="1"/>
      <c r="AI514" s="1"/>
      <c r="AJ514" s="1"/>
      <c r="AK514" s="1"/>
    </row>
    <row r="515" ht="30.0" customHeight="1">
      <c r="A515" s="1"/>
      <c r="B515" s="1"/>
      <c r="C515" s="2"/>
      <c r="D515" s="2"/>
      <c r="E515" s="2"/>
      <c r="F515" s="2"/>
      <c r="G515" s="2"/>
      <c r="H515" s="2"/>
      <c r="I515" s="2"/>
      <c r="J515" s="2"/>
      <c r="K515" s="2"/>
      <c r="L515" s="2"/>
      <c r="M515" s="2"/>
      <c r="N515" s="1"/>
      <c r="O515" s="2"/>
      <c r="P515" s="2"/>
      <c r="Q515" s="2"/>
      <c r="R515" s="2"/>
      <c r="S515" s="2"/>
      <c r="T515" s="2"/>
      <c r="U515" s="2"/>
      <c r="V515" s="2"/>
      <c r="W515" s="2"/>
      <c r="X515" s="2"/>
      <c r="Y515" s="2"/>
      <c r="Z515" s="1"/>
      <c r="AA515" s="1"/>
      <c r="AB515" s="1"/>
      <c r="AC515" s="1"/>
      <c r="AD515" s="1"/>
      <c r="AE515" s="1"/>
      <c r="AF515" s="1"/>
      <c r="AG515" s="1"/>
      <c r="AH515" s="1"/>
      <c r="AI515" s="1"/>
      <c r="AJ515" s="1"/>
      <c r="AK515" s="1"/>
    </row>
    <row r="516" ht="30.0" customHeight="1">
      <c r="A516" s="1"/>
      <c r="B516" s="1"/>
      <c r="C516" s="2"/>
      <c r="D516" s="2"/>
      <c r="E516" s="2"/>
      <c r="F516" s="2"/>
      <c r="G516" s="2"/>
      <c r="H516" s="2"/>
      <c r="I516" s="2"/>
      <c r="J516" s="2"/>
      <c r="K516" s="2"/>
      <c r="L516" s="2"/>
      <c r="M516" s="2"/>
      <c r="N516" s="1"/>
      <c r="O516" s="2"/>
      <c r="P516" s="2"/>
      <c r="Q516" s="2"/>
      <c r="R516" s="2"/>
      <c r="S516" s="2"/>
      <c r="T516" s="2"/>
      <c r="U516" s="2"/>
      <c r="V516" s="2"/>
      <c r="W516" s="2"/>
      <c r="X516" s="2"/>
      <c r="Y516" s="2"/>
      <c r="Z516" s="1"/>
      <c r="AA516" s="1"/>
      <c r="AB516" s="1"/>
      <c r="AC516" s="1"/>
      <c r="AD516" s="1"/>
      <c r="AE516" s="1"/>
      <c r="AF516" s="1"/>
      <c r="AG516" s="1"/>
      <c r="AH516" s="1"/>
      <c r="AI516" s="1"/>
      <c r="AJ516" s="1"/>
      <c r="AK516" s="1"/>
    </row>
    <row r="517" ht="30.0" customHeight="1">
      <c r="A517" s="1"/>
      <c r="B517" s="1"/>
      <c r="C517" s="2"/>
      <c r="D517" s="2"/>
      <c r="E517" s="2"/>
      <c r="F517" s="2"/>
      <c r="G517" s="2"/>
      <c r="H517" s="2"/>
      <c r="I517" s="2"/>
      <c r="J517" s="2"/>
      <c r="K517" s="2"/>
      <c r="L517" s="2"/>
      <c r="M517" s="2"/>
      <c r="N517" s="1"/>
      <c r="O517" s="2"/>
      <c r="P517" s="2"/>
      <c r="Q517" s="2"/>
      <c r="R517" s="2"/>
      <c r="S517" s="2"/>
      <c r="T517" s="2"/>
      <c r="U517" s="2"/>
      <c r="V517" s="2"/>
      <c r="W517" s="2"/>
      <c r="X517" s="2"/>
      <c r="Y517" s="2"/>
      <c r="Z517" s="1"/>
      <c r="AA517" s="1"/>
      <c r="AB517" s="1"/>
      <c r="AC517" s="1"/>
      <c r="AD517" s="1"/>
      <c r="AE517" s="1"/>
      <c r="AF517" s="1"/>
      <c r="AG517" s="1"/>
      <c r="AH517" s="1"/>
      <c r="AI517" s="1"/>
      <c r="AJ517" s="1"/>
      <c r="AK517" s="1"/>
    </row>
    <row r="518" ht="30.0" customHeight="1">
      <c r="A518" s="1"/>
      <c r="B518" s="1"/>
      <c r="C518" s="2"/>
      <c r="D518" s="2"/>
      <c r="E518" s="2"/>
      <c r="F518" s="2"/>
      <c r="G518" s="2"/>
      <c r="H518" s="2"/>
      <c r="I518" s="2"/>
      <c r="J518" s="2"/>
      <c r="K518" s="2"/>
      <c r="L518" s="2"/>
      <c r="M518" s="2"/>
      <c r="N518" s="1"/>
      <c r="O518" s="2"/>
      <c r="P518" s="2"/>
      <c r="Q518" s="2"/>
      <c r="R518" s="2"/>
      <c r="S518" s="2"/>
      <c r="T518" s="2"/>
      <c r="U518" s="2"/>
      <c r="V518" s="2"/>
      <c r="W518" s="2"/>
      <c r="X518" s="2"/>
      <c r="Y518" s="2"/>
      <c r="Z518" s="1"/>
      <c r="AA518" s="1"/>
      <c r="AB518" s="1"/>
      <c r="AC518" s="1"/>
      <c r="AD518" s="1"/>
      <c r="AE518" s="1"/>
      <c r="AF518" s="1"/>
      <c r="AG518" s="1"/>
      <c r="AH518" s="1"/>
      <c r="AI518" s="1"/>
      <c r="AJ518" s="1"/>
      <c r="AK518" s="1"/>
    </row>
    <row r="519" ht="30.0" customHeight="1">
      <c r="A519" s="1"/>
      <c r="B519" s="1"/>
      <c r="C519" s="2"/>
      <c r="D519" s="2"/>
      <c r="E519" s="2"/>
      <c r="F519" s="2"/>
      <c r="G519" s="2"/>
      <c r="H519" s="2"/>
      <c r="I519" s="2"/>
      <c r="J519" s="2"/>
      <c r="K519" s="2"/>
      <c r="L519" s="2"/>
      <c r="M519" s="2"/>
      <c r="N519" s="1"/>
      <c r="O519" s="2"/>
      <c r="P519" s="2"/>
      <c r="Q519" s="2"/>
      <c r="R519" s="2"/>
      <c r="S519" s="2"/>
      <c r="T519" s="2"/>
      <c r="U519" s="2"/>
      <c r="V519" s="2"/>
      <c r="W519" s="2"/>
      <c r="X519" s="2"/>
      <c r="Y519" s="2"/>
      <c r="Z519" s="1"/>
      <c r="AA519" s="1"/>
      <c r="AB519" s="1"/>
      <c r="AC519" s="1"/>
      <c r="AD519" s="1"/>
      <c r="AE519" s="1"/>
      <c r="AF519" s="1"/>
      <c r="AG519" s="1"/>
      <c r="AH519" s="1"/>
      <c r="AI519" s="1"/>
      <c r="AJ519" s="1"/>
      <c r="AK519" s="1"/>
    </row>
    <row r="520" ht="30.0" customHeight="1">
      <c r="A520" s="1"/>
      <c r="B520" s="1"/>
      <c r="C520" s="2"/>
      <c r="D520" s="2"/>
      <c r="E520" s="2"/>
      <c r="F520" s="2"/>
      <c r="G520" s="2"/>
      <c r="H520" s="2"/>
      <c r="I520" s="2"/>
      <c r="J520" s="2"/>
      <c r="K520" s="2"/>
      <c r="L520" s="2"/>
      <c r="M520" s="2"/>
      <c r="N520" s="1"/>
      <c r="O520" s="2"/>
      <c r="P520" s="2"/>
      <c r="Q520" s="2"/>
      <c r="R520" s="2"/>
      <c r="S520" s="2"/>
      <c r="T520" s="2"/>
      <c r="U520" s="2"/>
      <c r="V520" s="2"/>
      <c r="W520" s="2"/>
      <c r="X520" s="2"/>
      <c r="Y520" s="2"/>
      <c r="Z520" s="1"/>
      <c r="AA520" s="1"/>
      <c r="AB520" s="1"/>
      <c r="AC520" s="1"/>
      <c r="AD520" s="1"/>
      <c r="AE520" s="1"/>
      <c r="AF520" s="1"/>
      <c r="AG520" s="1"/>
      <c r="AH520" s="1"/>
      <c r="AI520" s="1"/>
      <c r="AJ520" s="1"/>
      <c r="AK520" s="1"/>
    </row>
    <row r="521" ht="30.0" customHeight="1">
      <c r="A521" s="1"/>
      <c r="B521" s="1"/>
      <c r="C521" s="2"/>
      <c r="D521" s="2"/>
      <c r="E521" s="2"/>
      <c r="F521" s="2"/>
      <c r="G521" s="2"/>
      <c r="H521" s="2"/>
      <c r="I521" s="2"/>
      <c r="J521" s="2"/>
      <c r="K521" s="2"/>
      <c r="L521" s="2"/>
      <c r="M521" s="2"/>
      <c r="N521" s="1"/>
      <c r="O521" s="2"/>
      <c r="P521" s="2"/>
      <c r="Q521" s="2"/>
      <c r="R521" s="2"/>
      <c r="S521" s="2"/>
      <c r="T521" s="2"/>
      <c r="U521" s="2"/>
      <c r="V521" s="2"/>
      <c r="W521" s="2"/>
      <c r="X521" s="2"/>
      <c r="Y521" s="2"/>
      <c r="Z521" s="1"/>
      <c r="AA521" s="1"/>
      <c r="AB521" s="1"/>
      <c r="AC521" s="1"/>
      <c r="AD521" s="1"/>
      <c r="AE521" s="1"/>
      <c r="AF521" s="1"/>
      <c r="AG521" s="1"/>
      <c r="AH521" s="1"/>
      <c r="AI521" s="1"/>
      <c r="AJ521" s="1"/>
      <c r="AK521" s="1"/>
    </row>
    <row r="522" ht="30.0" customHeight="1">
      <c r="A522" s="1"/>
      <c r="B522" s="1"/>
      <c r="C522" s="2"/>
      <c r="D522" s="2"/>
      <c r="E522" s="2"/>
      <c r="F522" s="2"/>
      <c r="G522" s="2"/>
      <c r="H522" s="2"/>
      <c r="I522" s="2"/>
      <c r="J522" s="2"/>
      <c r="K522" s="2"/>
      <c r="L522" s="2"/>
      <c r="M522" s="2"/>
      <c r="N522" s="1"/>
      <c r="O522" s="2"/>
      <c r="P522" s="2"/>
      <c r="Q522" s="2"/>
      <c r="R522" s="2"/>
      <c r="S522" s="2"/>
      <c r="T522" s="2"/>
      <c r="U522" s="2"/>
      <c r="V522" s="2"/>
      <c r="W522" s="2"/>
      <c r="X522" s="2"/>
      <c r="Y522" s="2"/>
      <c r="Z522" s="1"/>
      <c r="AA522" s="1"/>
      <c r="AB522" s="1"/>
      <c r="AC522" s="1"/>
      <c r="AD522" s="1"/>
      <c r="AE522" s="1"/>
      <c r="AF522" s="1"/>
      <c r="AG522" s="1"/>
      <c r="AH522" s="1"/>
      <c r="AI522" s="1"/>
      <c r="AJ522" s="1"/>
      <c r="AK522" s="1"/>
    </row>
    <row r="523" ht="30.0" customHeight="1">
      <c r="A523" s="1"/>
      <c r="B523" s="1"/>
      <c r="C523" s="2"/>
      <c r="D523" s="2"/>
      <c r="E523" s="2"/>
      <c r="F523" s="2"/>
      <c r="G523" s="2"/>
      <c r="H523" s="2"/>
      <c r="I523" s="2"/>
      <c r="J523" s="2"/>
      <c r="K523" s="2"/>
      <c r="L523" s="2"/>
      <c r="M523" s="2"/>
      <c r="N523" s="1"/>
      <c r="O523" s="2"/>
      <c r="P523" s="2"/>
      <c r="Q523" s="2"/>
      <c r="R523" s="2"/>
      <c r="S523" s="2"/>
      <c r="T523" s="2"/>
      <c r="U523" s="2"/>
      <c r="V523" s="2"/>
      <c r="W523" s="2"/>
      <c r="X523" s="2"/>
      <c r="Y523" s="2"/>
      <c r="Z523" s="1"/>
      <c r="AA523" s="1"/>
      <c r="AB523" s="1"/>
      <c r="AC523" s="1"/>
      <c r="AD523" s="1"/>
      <c r="AE523" s="1"/>
      <c r="AF523" s="1"/>
      <c r="AG523" s="1"/>
      <c r="AH523" s="1"/>
      <c r="AI523" s="1"/>
      <c r="AJ523" s="1"/>
      <c r="AK523" s="1"/>
    </row>
    <row r="524" ht="30.0" customHeight="1">
      <c r="A524" s="1"/>
      <c r="B524" s="1"/>
      <c r="C524" s="2"/>
      <c r="D524" s="2"/>
      <c r="E524" s="2"/>
      <c r="F524" s="2"/>
      <c r="G524" s="2"/>
      <c r="H524" s="2"/>
      <c r="I524" s="2"/>
      <c r="J524" s="2"/>
      <c r="K524" s="2"/>
      <c r="L524" s="2"/>
      <c r="M524" s="2"/>
      <c r="N524" s="1"/>
      <c r="O524" s="2"/>
      <c r="P524" s="2"/>
      <c r="Q524" s="2"/>
      <c r="R524" s="2"/>
      <c r="S524" s="2"/>
      <c r="T524" s="2"/>
      <c r="U524" s="2"/>
      <c r="V524" s="2"/>
      <c r="W524" s="2"/>
      <c r="X524" s="2"/>
      <c r="Y524" s="2"/>
      <c r="Z524" s="1"/>
      <c r="AA524" s="1"/>
      <c r="AB524" s="1"/>
      <c r="AC524" s="1"/>
      <c r="AD524" s="1"/>
      <c r="AE524" s="1"/>
      <c r="AF524" s="1"/>
      <c r="AG524" s="1"/>
      <c r="AH524" s="1"/>
      <c r="AI524" s="1"/>
      <c r="AJ524" s="1"/>
      <c r="AK524" s="1"/>
    </row>
    <row r="525" ht="30.0" customHeight="1">
      <c r="A525" s="1"/>
      <c r="B525" s="1"/>
      <c r="C525" s="2"/>
      <c r="D525" s="2"/>
      <c r="E525" s="2"/>
      <c r="F525" s="2"/>
      <c r="G525" s="2"/>
      <c r="H525" s="2"/>
      <c r="I525" s="2"/>
      <c r="J525" s="2"/>
      <c r="K525" s="2"/>
      <c r="L525" s="2"/>
      <c r="M525" s="2"/>
      <c r="N525" s="1"/>
      <c r="O525" s="2"/>
      <c r="P525" s="2"/>
      <c r="Q525" s="2"/>
      <c r="R525" s="2"/>
      <c r="S525" s="2"/>
      <c r="T525" s="2"/>
      <c r="U525" s="2"/>
      <c r="V525" s="2"/>
      <c r="W525" s="2"/>
      <c r="X525" s="2"/>
      <c r="Y525" s="2"/>
      <c r="Z525" s="1"/>
      <c r="AA525" s="1"/>
      <c r="AB525" s="1"/>
      <c r="AC525" s="1"/>
      <c r="AD525" s="1"/>
      <c r="AE525" s="1"/>
      <c r="AF525" s="1"/>
      <c r="AG525" s="1"/>
      <c r="AH525" s="1"/>
      <c r="AI525" s="1"/>
      <c r="AJ525" s="1"/>
      <c r="AK525" s="1"/>
    </row>
    <row r="526" ht="30.0" customHeight="1">
      <c r="A526" s="1"/>
      <c r="B526" s="1"/>
      <c r="C526" s="2"/>
      <c r="D526" s="2"/>
      <c r="E526" s="2"/>
      <c r="F526" s="2"/>
      <c r="G526" s="2"/>
      <c r="H526" s="2"/>
      <c r="I526" s="2"/>
      <c r="J526" s="2"/>
      <c r="K526" s="2"/>
      <c r="L526" s="2"/>
      <c r="M526" s="2"/>
      <c r="N526" s="1"/>
      <c r="O526" s="2"/>
      <c r="P526" s="2"/>
      <c r="Q526" s="2"/>
      <c r="R526" s="2"/>
      <c r="S526" s="2"/>
      <c r="T526" s="2"/>
      <c r="U526" s="2"/>
      <c r="V526" s="2"/>
      <c r="W526" s="2"/>
      <c r="X526" s="2"/>
      <c r="Y526" s="2"/>
      <c r="Z526" s="1"/>
      <c r="AA526" s="1"/>
      <c r="AB526" s="1"/>
      <c r="AC526" s="1"/>
      <c r="AD526" s="1"/>
      <c r="AE526" s="1"/>
      <c r="AF526" s="1"/>
      <c r="AG526" s="1"/>
      <c r="AH526" s="1"/>
      <c r="AI526" s="1"/>
      <c r="AJ526" s="1"/>
      <c r="AK526" s="1"/>
    </row>
    <row r="527" ht="30.0" customHeight="1">
      <c r="A527" s="1"/>
      <c r="B527" s="1"/>
      <c r="C527" s="2"/>
      <c r="D527" s="2"/>
      <c r="E527" s="2"/>
      <c r="F527" s="2"/>
      <c r="G527" s="2"/>
      <c r="H527" s="2"/>
      <c r="I527" s="2"/>
      <c r="J527" s="2"/>
      <c r="K527" s="2"/>
      <c r="L527" s="2"/>
      <c r="M527" s="2"/>
      <c r="N527" s="1"/>
      <c r="O527" s="2"/>
      <c r="P527" s="2"/>
      <c r="Q527" s="2"/>
      <c r="R527" s="2"/>
      <c r="S527" s="2"/>
      <c r="T527" s="2"/>
      <c r="U527" s="2"/>
      <c r="V527" s="2"/>
      <c r="W527" s="2"/>
      <c r="X527" s="2"/>
      <c r="Y527" s="2"/>
      <c r="Z527" s="1"/>
      <c r="AA527" s="1"/>
      <c r="AB527" s="1"/>
      <c r="AC527" s="1"/>
      <c r="AD527" s="1"/>
      <c r="AE527" s="1"/>
      <c r="AF527" s="1"/>
      <c r="AG527" s="1"/>
      <c r="AH527" s="1"/>
      <c r="AI527" s="1"/>
      <c r="AJ527" s="1"/>
      <c r="AK527" s="1"/>
    </row>
    <row r="528" ht="30.0" customHeight="1">
      <c r="A528" s="1"/>
      <c r="B528" s="1"/>
      <c r="C528" s="2"/>
      <c r="D528" s="2"/>
      <c r="E528" s="2"/>
      <c r="F528" s="2"/>
      <c r="G528" s="2"/>
      <c r="H528" s="2"/>
      <c r="I528" s="2"/>
      <c r="J528" s="2"/>
      <c r="K528" s="2"/>
      <c r="L528" s="2"/>
      <c r="M528" s="2"/>
      <c r="N528" s="1"/>
      <c r="O528" s="2"/>
      <c r="P528" s="2"/>
      <c r="Q528" s="2"/>
      <c r="R528" s="2"/>
      <c r="S528" s="2"/>
      <c r="T528" s="2"/>
      <c r="U528" s="2"/>
      <c r="V528" s="2"/>
      <c r="W528" s="2"/>
      <c r="X528" s="2"/>
      <c r="Y528" s="2"/>
      <c r="Z528" s="1"/>
      <c r="AA528" s="1"/>
      <c r="AB528" s="1"/>
      <c r="AC528" s="1"/>
      <c r="AD528" s="1"/>
      <c r="AE528" s="1"/>
      <c r="AF528" s="1"/>
      <c r="AG528" s="1"/>
      <c r="AH528" s="1"/>
      <c r="AI528" s="1"/>
      <c r="AJ528" s="1"/>
      <c r="AK528" s="1"/>
    </row>
    <row r="529" ht="30.0" customHeight="1">
      <c r="A529" s="1"/>
      <c r="B529" s="1"/>
      <c r="C529" s="2"/>
      <c r="D529" s="2"/>
      <c r="E529" s="2"/>
      <c r="F529" s="2"/>
      <c r="G529" s="2"/>
      <c r="H529" s="2"/>
      <c r="I529" s="2"/>
      <c r="J529" s="2"/>
      <c r="K529" s="2"/>
      <c r="L529" s="2"/>
      <c r="M529" s="2"/>
      <c r="N529" s="1"/>
      <c r="O529" s="2"/>
      <c r="P529" s="2"/>
      <c r="Q529" s="2"/>
      <c r="R529" s="2"/>
      <c r="S529" s="2"/>
      <c r="T529" s="2"/>
      <c r="U529" s="2"/>
      <c r="V529" s="2"/>
      <c r="W529" s="2"/>
      <c r="X529" s="2"/>
      <c r="Y529" s="2"/>
      <c r="Z529" s="1"/>
      <c r="AA529" s="1"/>
      <c r="AB529" s="1"/>
      <c r="AC529" s="1"/>
      <c r="AD529" s="1"/>
      <c r="AE529" s="1"/>
      <c r="AF529" s="1"/>
      <c r="AG529" s="1"/>
      <c r="AH529" s="1"/>
      <c r="AI529" s="1"/>
      <c r="AJ529" s="1"/>
      <c r="AK529" s="1"/>
    </row>
    <row r="530" ht="30.0" customHeight="1">
      <c r="A530" s="1"/>
      <c r="B530" s="1"/>
      <c r="C530" s="2"/>
      <c r="D530" s="2"/>
      <c r="E530" s="2"/>
      <c r="F530" s="2"/>
      <c r="G530" s="2"/>
      <c r="H530" s="2"/>
      <c r="I530" s="2"/>
      <c r="J530" s="2"/>
      <c r="K530" s="2"/>
      <c r="L530" s="2"/>
      <c r="M530" s="2"/>
      <c r="N530" s="1"/>
      <c r="O530" s="2"/>
      <c r="P530" s="2"/>
      <c r="Q530" s="2"/>
      <c r="R530" s="2"/>
      <c r="S530" s="2"/>
      <c r="T530" s="2"/>
      <c r="U530" s="2"/>
      <c r="V530" s="2"/>
      <c r="W530" s="2"/>
      <c r="X530" s="2"/>
      <c r="Y530" s="2"/>
      <c r="Z530" s="1"/>
      <c r="AA530" s="1"/>
      <c r="AB530" s="1"/>
      <c r="AC530" s="1"/>
      <c r="AD530" s="1"/>
      <c r="AE530" s="1"/>
      <c r="AF530" s="1"/>
      <c r="AG530" s="1"/>
      <c r="AH530" s="1"/>
      <c r="AI530" s="1"/>
      <c r="AJ530" s="1"/>
      <c r="AK530" s="1"/>
    </row>
    <row r="531" ht="30.0" customHeight="1">
      <c r="A531" s="1"/>
      <c r="B531" s="1"/>
      <c r="C531" s="2"/>
      <c r="D531" s="2"/>
      <c r="E531" s="2"/>
      <c r="F531" s="2"/>
      <c r="G531" s="2"/>
      <c r="H531" s="2"/>
      <c r="I531" s="2"/>
      <c r="J531" s="2"/>
      <c r="K531" s="2"/>
      <c r="L531" s="2"/>
      <c r="M531" s="2"/>
      <c r="N531" s="1"/>
      <c r="O531" s="2"/>
      <c r="P531" s="2"/>
      <c r="Q531" s="2"/>
      <c r="R531" s="2"/>
      <c r="S531" s="2"/>
      <c r="T531" s="2"/>
      <c r="U531" s="2"/>
      <c r="V531" s="2"/>
      <c r="W531" s="2"/>
      <c r="X531" s="2"/>
      <c r="Y531" s="2"/>
      <c r="Z531" s="1"/>
      <c r="AA531" s="1"/>
      <c r="AB531" s="1"/>
      <c r="AC531" s="1"/>
      <c r="AD531" s="1"/>
      <c r="AE531" s="1"/>
      <c r="AF531" s="1"/>
      <c r="AG531" s="1"/>
      <c r="AH531" s="1"/>
      <c r="AI531" s="1"/>
      <c r="AJ531" s="1"/>
      <c r="AK531" s="1"/>
    </row>
    <row r="532" ht="30.0" customHeight="1">
      <c r="A532" s="1"/>
      <c r="B532" s="1"/>
      <c r="C532" s="2"/>
      <c r="D532" s="2"/>
      <c r="E532" s="2"/>
      <c r="F532" s="2"/>
      <c r="G532" s="2"/>
      <c r="H532" s="2"/>
      <c r="I532" s="2"/>
      <c r="J532" s="2"/>
      <c r="K532" s="2"/>
      <c r="L532" s="2"/>
      <c r="M532" s="2"/>
      <c r="N532" s="1"/>
      <c r="O532" s="2"/>
      <c r="P532" s="2"/>
      <c r="Q532" s="2"/>
      <c r="R532" s="2"/>
      <c r="S532" s="2"/>
      <c r="T532" s="2"/>
      <c r="U532" s="2"/>
      <c r="V532" s="2"/>
      <c r="W532" s="2"/>
      <c r="X532" s="2"/>
      <c r="Y532" s="2"/>
      <c r="Z532" s="1"/>
      <c r="AA532" s="1"/>
      <c r="AB532" s="1"/>
      <c r="AC532" s="1"/>
      <c r="AD532" s="1"/>
      <c r="AE532" s="1"/>
      <c r="AF532" s="1"/>
      <c r="AG532" s="1"/>
      <c r="AH532" s="1"/>
      <c r="AI532" s="1"/>
      <c r="AJ532" s="1"/>
      <c r="AK532" s="1"/>
    </row>
    <row r="533" ht="30.0" customHeight="1">
      <c r="A533" s="1"/>
      <c r="B533" s="1"/>
      <c r="C533" s="2"/>
      <c r="D533" s="2"/>
      <c r="E533" s="2"/>
      <c r="F533" s="2"/>
      <c r="G533" s="2"/>
      <c r="H533" s="2"/>
      <c r="I533" s="2"/>
      <c r="J533" s="2"/>
      <c r="K533" s="2"/>
      <c r="L533" s="2"/>
      <c r="M533" s="2"/>
      <c r="N533" s="1"/>
      <c r="O533" s="2"/>
      <c r="P533" s="2"/>
      <c r="Q533" s="2"/>
      <c r="R533" s="2"/>
      <c r="S533" s="2"/>
      <c r="T533" s="2"/>
      <c r="U533" s="2"/>
      <c r="V533" s="2"/>
      <c r="W533" s="2"/>
      <c r="X533" s="2"/>
      <c r="Y533" s="2"/>
      <c r="Z533" s="1"/>
      <c r="AA533" s="1"/>
      <c r="AB533" s="1"/>
      <c r="AC533" s="1"/>
      <c r="AD533" s="1"/>
      <c r="AE533" s="1"/>
      <c r="AF533" s="1"/>
      <c r="AG533" s="1"/>
      <c r="AH533" s="1"/>
      <c r="AI533" s="1"/>
      <c r="AJ533" s="1"/>
      <c r="AK533" s="1"/>
    </row>
    <row r="534" ht="30.0" customHeight="1">
      <c r="A534" s="1"/>
      <c r="B534" s="1"/>
      <c r="C534" s="2"/>
      <c r="D534" s="2"/>
      <c r="E534" s="2"/>
      <c r="F534" s="2"/>
      <c r="G534" s="2"/>
      <c r="H534" s="2"/>
      <c r="I534" s="2"/>
      <c r="J534" s="2"/>
      <c r="K534" s="2"/>
      <c r="L534" s="2"/>
      <c r="M534" s="2"/>
      <c r="N534" s="1"/>
      <c r="O534" s="2"/>
      <c r="P534" s="2"/>
      <c r="Q534" s="2"/>
      <c r="R534" s="2"/>
      <c r="S534" s="2"/>
      <c r="T534" s="2"/>
      <c r="U534" s="2"/>
      <c r="V534" s="2"/>
      <c r="W534" s="2"/>
      <c r="X534" s="2"/>
      <c r="Y534" s="2"/>
      <c r="Z534" s="1"/>
      <c r="AA534" s="1"/>
      <c r="AB534" s="1"/>
      <c r="AC534" s="1"/>
      <c r="AD534" s="1"/>
      <c r="AE534" s="1"/>
      <c r="AF534" s="1"/>
      <c r="AG534" s="1"/>
      <c r="AH534" s="1"/>
      <c r="AI534" s="1"/>
      <c r="AJ534" s="1"/>
      <c r="AK534" s="1"/>
    </row>
    <row r="535" ht="30.0" customHeight="1">
      <c r="A535" s="1"/>
      <c r="B535" s="1"/>
      <c r="C535" s="2"/>
      <c r="D535" s="2"/>
      <c r="E535" s="2"/>
      <c r="F535" s="2"/>
      <c r="G535" s="2"/>
      <c r="H535" s="2"/>
      <c r="I535" s="2"/>
      <c r="J535" s="2"/>
      <c r="K535" s="2"/>
      <c r="L535" s="2"/>
      <c r="M535" s="2"/>
      <c r="N535" s="1"/>
      <c r="O535" s="2"/>
      <c r="P535" s="2"/>
      <c r="Q535" s="2"/>
      <c r="R535" s="2"/>
      <c r="S535" s="2"/>
      <c r="T535" s="2"/>
      <c r="U535" s="2"/>
      <c r="V535" s="2"/>
      <c r="W535" s="2"/>
      <c r="X535" s="2"/>
      <c r="Y535" s="2"/>
      <c r="Z535" s="1"/>
      <c r="AA535" s="1"/>
      <c r="AB535" s="1"/>
      <c r="AC535" s="1"/>
      <c r="AD535" s="1"/>
      <c r="AE535" s="1"/>
      <c r="AF535" s="1"/>
      <c r="AG535" s="1"/>
      <c r="AH535" s="1"/>
      <c r="AI535" s="1"/>
      <c r="AJ535" s="1"/>
      <c r="AK535" s="1"/>
    </row>
    <row r="536" ht="30.0" customHeight="1">
      <c r="A536" s="1"/>
      <c r="B536" s="1"/>
      <c r="C536" s="2"/>
      <c r="D536" s="2"/>
      <c r="E536" s="2"/>
      <c r="F536" s="2"/>
      <c r="G536" s="2"/>
      <c r="H536" s="2"/>
      <c r="I536" s="2"/>
      <c r="J536" s="2"/>
      <c r="K536" s="2"/>
      <c r="L536" s="2"/>
      <c r="M536" s="2"/>
      <c r="N536" s="1"/>
      <c r="O536" s="2"/>
      <c r="P536" s="2"/>
      <c r="Q536" s="2"/>
      <c r="R536" s="2"/>
      <c r="S536" s="2"/>
      <c r="T536" s="2"/>
      <c r="U536" s="2"/>
      <c r="V536" s="2"/>
      <c r="W536" s="2"/>
      <c r="X536" s="2"/>
      <c r="Y536" s="2"/>
      <c r="Z536" s="1"/>
      <c r="AA536" s="1"/>
      <c r="AB536" s="1"/>
      <c r="AC536" s="1"/>
      <c r="AD536" s="1"/>
      <c r="AE536" s="1"/>
      <c r="AF536" s="1"/>
      <c r="AG536" s="1"/>
      <c r="AH536" s="1"/>
      <c r="AI536" s="1"/>
      <c r="AJ536" s="1"/>
      <c r="AK536" s="1"/>
    </row>
    <row r="537" ht="30.0" customHeight="1">
      <c r="A537" s="1"/>
      <c r="B537" s="1"/>
      <c r="C537" s="2"/>
      <c r="D537" s="2"/>
      <c r="E537" s="2"/>
      <c r="F537" s="2"/>
      <c r="G537" s="2"/>
      <c r="H537" s="2"/>
      <c r="I537" s="2"/>
      <c r="J537" s="2"/>
      <c r="K537" s="2"/>
      <c r="L537" s="2"/>
      <c r="M537" s="2"/>
      <c r="N537" s="1"/>
      <c r="O537" s="2"/>
      <c r="P537" s="2"/>
      <c r="Q537" s="2"/>
      <c r="R537" s="2"/>
      <c r="S537" s="2"/>
      <c r="T537" s="2"/>
      <c r="U537" s="2"/>
      <c r="V537" s="2"/>
      <c r="W537" s="2"/>
      <c r="X537" s="2"/>
      <c r="Y537" s="2"/>
      <c r="Z537" s="1"/>
      <c r="AA537" s="1"/>
      <c r="AB537" s="1"/>
      <c r="AC537" s="1"/>
      <c r="AD537" s="1"/>
      <c r="AE537" s="1"/>
      <c r="AF537" s="1"/>
      <c r="AG537" s="1"/>
      <c r="AH537" s="1"/>
      <c r="AI537" s="1"/>
      <c r="AJ537" s="1"/>
      <c r="AK537" s="1"/>
    </row>
    <row r="538" ht="30.0" customHeight="1">
      <c r="A538" s="1"/>
      <c r="B538" s="1"/>
      <c r="C538" s="2"/>
      <c r="D538" s="2"/>
      <c r="E538" s="2"/>
      <c r="F538" s="2"/>
      <c r="G538" s="2"/>
      <c r="H538" s="2"/>
      <c r="I538" s="2"/>
      <c r="J538" s="2"/>
      <c r="K538" s="2"/>
      <c r="L538" s="2"/>
      <c r="M538" s="2"/>
      <c r="N538" s="1"/>
      <c r="O538" s="2"/>
      <c r="P538" s="2"/>
      <c r="Q538" s="2"/>
      <c r="R538" s="2"/>
      <c r="S538" s="2"/>
      <c r="T538" s="2"/>
      <c r="U538" s="2"/>
      <c r="V538" s="2"/>
      <c r="W538" s="2"/>
      <c r="X538" s="2"/>
      <c r="Y538" s="2"/>
      <c r="Z538" s="1"/>
      <c r="AA538" s="1"/>
      <c r="AB538" s="1"/>
      <c r="AC538" s="1"/>
      <c r="AD538" s="1"/>
      <c r="AE538" s="1"/>
      <c r="AF538" s="1"/>
      <c r="AG538" s="1"/>
      <c r="AH538" s="1"/>
      <c r="AI538" s="1"/>
      <c r="AJ538" s="1"/>
      <c r="AK538" s="1"/>
    </row>
    <row r="539" ht="30.0" customHeight="1">
      <c r="A539" s="1"/>
      <c r="B539" s="1"/>
      <c r="C539" s="2"/>
      <c r="D539" s="2"/>
      <c r="E539" s="2"/>
      <c r="F539" s="2"/>
      <c r="G539" s="2"/>
      <c r="H539" s="2"/>
      <c r="I539" s="2"/>
      <c r="J539" s="2"/>
      <c r="K539" s="2"/>
      <c r="L539" s="2"/>
      <c r="M539" s="2"/>
      <c r="N539" s="1"/>
      <c r="O539" s="2"/>
      <c r="P539" s="2"/>
      <c r="Q539" s="2"/>
      <c r="R539" s="2"/>
      <c r="S539" s="2"/>
      <c r="T539" s="2"/>
      <c r="U539" s="2"/>
      <c r="V539" s="2"/>
      <c r="W539" s="2"/>
      <c r="X539" s="2"/>
      <c r="Y539" s="2"/>
      <c r="Z539" s="1"/>
      <c r="AA539" s="1"/>
      <c r="AB539" s="1"/>
      <c r="AC539" s="1"/>
      <c r="AD539" s="1"/>
      <c r="AE539" s="1"/>
      <c r="AF539" s="1"/>
      <c r="AG539" s="1"/>
      <c r="AH539" s="1"/>
      <c r="AI539" s="1"/>
      <c r="AJ539" s="1"/>
      <c r="AK539" s="1"/>
    </row>
    <row r="540" ht="30.0" customHeight="1">
      <c r="A540" s="1"/>
      <c r="B540" s="1"/>
      <c r="C540" s="2"/>
      <c r="D540" s="2"/>
      <c r="E540" s="2"/>
      <c r="F540" s="2"/>
      <c r="G540" s="2"/>
      <c r="H540" s="2"/>
      <c r="I540" s="2"/>
      <c r="J540" s="2"/>
      <c r="K540" s="2"/>
      <c r="L540" s="2"/>
      <c r="M540" s="2"/>
      <c r="N540" s="1"/>
      <c r="O540" s="2"/>
      <c r="P540" s="2"/>
      <c r="Q540" s="2"/>
      <c r="R540" s="2"/>
      <c r="S540" s="2"/>
      <c r="T540" s="2"/>
      <c r="U540" s="2"/>
      <c r="V540" s="2"/>
      <c r="W540" s="2"/>
      <c r="X540" s="2"/>
      <c r="Y540" s="2"/>
      <c r="Z540" s="1"/>
      <c r="AA540" s="1"/>
      <c r="AB540" s="1"/>
      <c r="AC540" s="1"/>
      <c r="AD540" s="1"/>
      <c r="AE540" s="1"/>
      <c r="AF540" s="1"/>
      <c r="AG540" s="1"/>
      <c r="AH540" s="1"/>
      <c r="AI540" s="1"/>
      <c r="AJ540" s="1"/>
      <c r="AK540" s="1"/>
    </row>
    <row r="541" ht="30.0" customHeight="1">
      <c r="A541" s="1"/>
      <c r="B541" s="1"/>
      <c r="C541" s="2"/>
      <c r="D541" s="2"/>
      <c r="E541" s="2"/>
      <c r="F541" s="2"/>
      <c r="G541" s="2"/>
      <c r="H541" s="2"/>
      <c r="I541" s="2"/>
      <c r="J541" s="2"/>
      <c r="K541" s="2"/>
      <c r="L541" s="2"/>
      <c r="M541" s="2"/>
      <c r="N541" s="1"/>
      <c r="O541" s="2"/>
      <c r="P541" s="2"/>
      <c r="Q541" s="2"/>
      <c r="R541" s="2"/>
      <c r="S541" s="2"/>
      <c r="T541" s="2"/>
      <c r="U541" s="2"/>
      <c r="V541" s="2"/>
      <c r="W541" s="2"/>
      <c r="X541" s="2"/>
      <c r="Y541" s="2"/>
      <c r="Z541" s="1"/>
      <c r="AA541" s="1"/>
      <c r="AB541" s="1"/>
      <c r="AC541" s="1"/>
      <c r="AD541" s="1"/>
      <c r="AE541" s="1"/>
      <c r="AF541" s="1"/>
      <c r="AG541" s="1"/>
      <c r="AH541" s="1"/>
      <c r="AI541" s="1"/>
      <c r="AJ541" s="1"/>
      <c r="AK541" s="1"/>
    </row>
    <row r="542" ht="30.0" customHeight="1">
      <c r="A542" s="1"/>
      <c r="B542" s="1"/>
      <c r="C542" s="2"/>
      <c r="D542" s="2"/>
      <c r="E542" s="2"/>
      <c r="F542" s="2"/>
      <c r="G542" s="2"/>
      <c r="H542" s="2"/>
      <c r="I542" s="2"/>
      <c r="J542" s="2"/>
      <c r="K542" s="2"/>
      <c r="L542" s="2"/>
      <c r="M542" s="2"/>
      <c r="N542" s="1"/>
      <c r="O542" s="2"/>
      <c r="P542" s="2"/>
      <c r="Q542" s="2"/>
      <c r="R542" s="2"/>
      <c r="S542" s="2"/>
      <c r="T542" s="2"/>
      <c r="U542" s="2"/>
      <c r="V542" s="2"/>
      <c r="W542" s="2"/>
      <c r="X542" s="2"/>
      <c r="Y542" s="2"/>
      <c r="Z542" s="1"/>
      <c r="AA542" s="1"/>
      <c r="AB542" s="1"/>
      <c r="AC542" s="1"/>
      <c r="AD542" s="1"/>
      <c r="AE542" s="1"/>
      <c r="AF542" s="1"/>
      <c r="AG542" s="1"/>
      <c r="AH542" s="1"/>
      <c r="AI542" s="1"/>
      <c r="AJ542" s="1"/>
      <c r="AK542" s="1"/>
    </row>
    <row r="543" ht="30.0" customHeight="1">
      <c r="A543" s="1"/>
      <c r="B543" s="1"/>
      <c r="C543" s="2"/>
      <c r="D543" s="2"/>
      <c r="E543" s="2"/>
      <c r="F543" s="2"/>
      <c r="G543" s="2"/>
      <c r="H543" s="2"/>
      <c r="I543" s="2"/>
      <c r="J543" s="2"/>
      <c r="K543" s="2"/>
      <c r="L543" s="2"/>
      <c r="M543" s="2"/>
      <c r="N543" s="1"/>
      <c r="O543" s="2"/>
      <c r="P543" s="2"/>
      <c r="Q543" s="2"/>
      <c r="R543" s="2"/>
      <c r="S543" s="2"/>
      <c r="T543" s="2"/>
      <c r="U543" s="2"/>
      <c r="V543" s="2"/>
      <c r="W543" s="2"/>
      <c r="X543" s="2"/>
      <c r="Y543" s="2"/>
      <c r="Z543" s="1"/>
      <c r="AA543" s="1"/>
      <c r="AB543" s="1"/>
      <c r="AC543" s="1"/>
      <c r="AD543" s="1"/>
      <c r="AE543" s="1"/>
      <c r="AF543" s="1"/>
      <c r="AG543" s="1"/>
      <c r="AH543" s="1"/>
      <c r="AI543" s="1"/>
      <c r="AJ543" s="1"/>
      <c r="AK543" s="1"/>
    </row>
    <row r="544" ht="30.0" customHeight="1">
      <c r="A544" s="1"/>
      <c r="B544" s="1"/>
      <c r="C544" s="2"/>
      <c r="D544" s="2"/>
      <c r="E544" s="2"/>
      <c r="F544" s="2"/>
      <c r="G544" s="2"/>
      <c r="H544" s="2"/>
      <c r="I544" s="2"/>
      <c r="J544" s="2"/>
      <c r="K544" s="2"/>
      <c r="L544" s="2"/>
      <c r="M544" s="2"/>
      <c r="N544" s="1"/>
      <c r="O544" s="2"/>
      <c r="P544" s="2"/>
      <c r="Q544" s="2"/>
      <c r="R544" s="2"/>
      <c r="S544" s="2"/>
      <c r="T544" s="2"/>
      <c r="U544" s="2"/>
      <c r="V544" s="2"/>
      <c r="W544" s="2"/>
      <c r="X544" s="2"/>
      <c r="Y544" s="2"/>
      <c r="Z544" s="1"/>
      <c r="AA544" s="1"/>
      <c r="AB544" s="1"/>
      <c r="AC544" s="1"/>
      <c r="AD544" s="1"/>
      <c r="AE544" s="1"/>
      <c r="AF544" s="1"/>
      <c r="AG544" s="1"/>
      <c r="AH544" s="1"/>
      <c r="AI544" s="1"/>
      <c r="AJ544" s="1"/>
      <c r="AK544" s="1"/>
    </row>
    <row r="545" ht="30.0" customHeight="1">
      <c r="A545" s="1"/>
      <c r="B545" s="1"/>
      <c r="C545" s="2"/>
      <c r="D545" s="2"/>
      <c r="E545" s="2"/>
      <c r="F545" s="2"/>
      <c r="G545" s="2"/>
      <c r="H545" s="2"/>
      <c r="I545" s="2"/>
      <c r="J545" s="2"/>
      <c r="K545" s="2"/>
      <c r="L545" s="2"/>
      <c r="M545" s="2"/>
      <c r="N545" s="1"/>
      <c r="O545" s="2"/>
      <c r="P545" s="2"/>
      <c r="Q545" s="2"/>
      <c r="R545" s="2"/>
      <c r="S545" s="2"/>
      <c r="T545" s="2"/>
      <c r="U545" s="2"/>
      <c r="V545" s="2"/>
      <c r="W545" s="2"/>
      <c r="X545" s="2"/>
      <c r="Y545" s="2"/>
      <c r="Z545" s="1"/>
      <c r="AA545" s="1"/>
      <c r="AB545" s="1"/>
      <c r="AC545" s="1"/>
      <c r="AD545" s="1"/>
      <c r="AE545" s="1"/>
      <c r="AF545" s="1"/>
      <c r="AG545" s="1"/>
      <c r="AH545" s="1"/>
      <c r="AI545" s="1"/>
      <c r="AJ545" s="1"/>
      <c r="AK545" s="1"/>
    </row>
    <row r="546" ht="30.0" customHeight="1">
      <c r="A546" s="1"/>
      <c r="B546" s="1"/>
      <c r="C546" s="2"/>
      <c r="D546" s="2"/>
      <c r="E546" s="2"/>
      <c r="F546" s="2"/>
      <c r="G546" s="2"/>
      <c r="H546" s="2"/>
      <c r="I546" s="2"/>
      <c r="J546" s="2"/>
      <c r="K546" s="2"/>
      <c r="L546" s="2"/>
      <c r="M546" s="2"/>
      <c r="N546" s="1"/>
      <c r="O546" s="2"/>
      <c r="P546" s="2"/>
      <c r="Q546" s="2"/>
      <c r="R546" s="2"/>
      <c r="S546" s="2"/>
      <c r="T546" s="2"/>
      <c r="U546" s="2"/>
      <c r="V546" s="2"/>
      <c r="W546" s="2"/>
      <c r="X546" s="2"/>
      <c r="Y546" s="2"/>
      <c r="Z546" s="1"/>
      <c r="AA546" s="1"/>
      <c r="AB546" s="1"/>
      <c r="AC546" s="1"/>
      <c r="AD546" s="1"/>
      <c r="AE546" s="1"/>
      <c r="AF546" s="1"/>
      <c r="AG546" s="1"/>
      <c r="AH546" s="1"/>
      <c r="AI546" s="1"/>
      <c r="AJ546" s="1"/>
      <c r="AK546" s="1"/>
    </row>
    <row r="547" ht="30.0" customHeight="1">
      <c r="A547" s="1"/>
      <c r="B547" s="1"/>
      <c r="C547" s="2"/>
      <c r="D547" s="2"/>
      <c r="E547" s="2"/>
      <c r="F547" s="2"/>
      <c r="G547" s="2"/>
      <c r="H547" s="2"/>
      <c r="I547" s="2"/>
      <c r="J547" s="2"/>
      <c r="K547" s="2"/>
      <c r="L547" s="2"/>
      <c r="M547" s="2"/>
      <c r="N547" s="1"/>
      <c r="O547" s="2"/>
      <c r="P547" s="2"/>
      <c r="Q547" s="2"/>
      <c r="R547" s="2"/>
      <c r="S547" s="2"/>
      <c r="T547" s="2"/>
      <c r="U547" s="2"/>
      <c r="V547" s="2"/>
      <c r="W547" s="2"/>
      <c r="X547" s="2"/>
      <c r="Y547" s="2"/>
      <c r="Z547" s="1"/>
      <c r="AA547" s="1"/>
      <c r="AB547" s="1"/>
      <c r="AC547" s="1"/>
      <c r="AD547" s="1"/>
      <c r="AE547" s="1"/>
      <c r="AF547" s="1"/>
      <c r="AG547" s="1"/>
      <c r="AH547" s="1"/>
      <c r="AI547" s="1"/>
      <c r="AJ547" s="1"/>
      <c r="AK547" s="1"/>
    </row>
    <row r="548" ht="30.0" customHeight="1">
      <c r="A548" s="1"/>
      <c r="B548" s="1"/>
      <c r="C548" s="2"/>
      <c r="D548" s="2"/>
      <c r="E548" s="2"/>
      <c r="F548" s="2"/>
      <c r="G548" s="2"/>
      <c r="H548" s="2"/>
      <c r="I548" s="2"/>
      <c r="J548" s="2"/>
      <c r="K548" s="2"/>
      <c r="L548" s="2"/>
      <c r="M548" s="2"/>
      <c r="N548" s="1"/>
      <c r="O548" s="2"/>
      <c r="P548" s="2"/>
      <c r="Q548" s="2"/>
      <c r="R548" s="2"/>
      <c r="S548" s="2"/>
      <c r="T548" s="2"/>
      <c r="U548" s="2"/>
      <c r="V548" s="2"/>
      <c r="W548" s="2"/>
      <c r="X548" s="2"/>
      <c r="Y548" s="2"/>
      <c r="Z548" s="1"/>
      <c r="AA548" s="1"/>
      <c r="AB548" s="1"/>
      <c r="AC548" s="1"/>
      <c r="AD548" s="1"/>
      <c r="AE548" s="1"/>
      <c r="AF548" s="1"/>
      <c r="AG548" s="1"/>
      <c r="AH548" s="1"/>
      <c r="AI548" s="1"/>
      <c r="AJ548" s="1"/>
      <c r="AK548" s="1"/>
    </row>
    <row r="549" ht="30.0" customHeight="1">
      <c r="A549" s="1"/>
      <c r="B549" s="1"/>
      <c r="C549" s="2"/>
      <c r="D549" s="2"/>
      <c r="E549" s="2"/>
      <c r="F549" s="2"/>
      <c r="G549" s="2"/>
      <c r="H549" s="2"/>
      <c r="I549" s="2"/>
      <c r="J549" s="2"/>
      <c r="K549" s="2"/>
      <c r="L549" s="2"/>
      <c r="M549" s="2"/>
      <c r="N549" s="1"/>
      <c r="O549" s="2"/>
      <c r="P549" s="2"/>
      <c r="Q549" s="2"/>
      <c r="R549" s="2"/>
      <c r="S549" s="2"/>
      <c r="T549" s="2"/>
      <c r="U549" s="2"/>
      <c r="V549" s="2"/>
      <c r="W549" s="2"/>
      <c r="X549" s="2"/>
      <c r="Y549" s="2"/>
      <c r="Z549" s="1"/>
      <c r="AA549" s="1"/>
      <c r="AB549" s="1"/>
      <c r="AC549" s="1"/>
      <c r="AD549" s="1"/>
      <c r="AE549" s="1"/>
      <c r="AF549" s="1"/>
      <c r="AG549" s="1"/>
      <c r="AH549" s="1"/>
      <c r="AI549" s="1"/>
      <c r="AJ549" s="1"/>
      <c r="AK549" s="1"/>
    </row>
    <row r="550" ht="30.0" customHeight="1">
      <c r="A550" s="1"/>
      <c r="B550" s="1"/>
      <c r="C550" s="2"/>
      <c r="D550" s="2"/>
      <c r="E550" s="2"/>
      <c r="F550" s="2"/>
      <c r="G550" s="2"/>
      <c r="H550" s="2"/>
      <c r="I550" s="2"/>
      <c r="J550" s="2"/>
      <c r="K550" s="2"/>
      <c r="L550" s="2"/>
      <c r="M550" s="2"/>
      <c r="N550" s="1"/>
      <c r="O550" s="2"/>
      <c r="P550" s="2"/>
      <c r="Q550" s="2"/>
      <c r="R550" s="2"/>
      <c r="S550" s="2"/>
      <c r="T550" s="2"/>
      <c r="U550" s="2"/>
      <c r="V550" s="2"/>
      <c r="W550" s="2"/>
      <c r="X550" s="2"/>
      <c r="Y550" s="2"/>
      <c r="Z550" s="1"/>
      <c r="AA550" s="1"/>
      <c r="AB550" s="1"/>
      <c r="AC550" s="1"/>
      <c r="AD550" s="1"/>
      <c r="AE550" s="1"/>
      <c r="AF550" s="1"/>
      <c r="AG550" s="1"/>
      <c r="AH550" s="1"/>
      <c r="AI550" s="1"/>
      <c r="AJ550" s="1"/>
      <c r="AK550" s="1"/>
    </row>
    <row r="551" ht="30.0" customHeight="1">
      <c r="A551" s="1"/>
      <c r="B551" s="1"/>
      <c r="C551" s="2"/>
      <c r="D551" s="2"/>
      <c r="E551" s="2"/>
      <c r="F551" s="2"/>
      <c r="G551" s="2"/>
      <c r="H551" s="2"/>
      <c r="I551" s="2"/>
      <c r="J551" s="2"/>
      <c r="K551" s="2"/>
      <c r="L551" s="2"/>
      <c r="M551" s="2"/>
      <c r="N551" s="1"/>
      <c r="O551" s="2"/>
      <c r="P551" s="2"/>
      <c r="Q551" s="2"/>
      <c r="R551" s="2"/>
      <c r="S551" s="2"/>
      <c r="T551" s="2"/>
      <c r="U551" s="2"/>
      <c r="V551" s="2"/>
      <c r="W551" s="2"/>
      <c r="X551" s="2"/>
      <c r="Y551" s="2"/>
      <c r="Z551" s="1"/>
      <c r="AA551" s="1"/>
      <c r="AB551" s="1"/>
      <c r="AC551" s="1"/>
      <c r="AD551" s="1"/>
      <c r="AE551" s="1"/>
      <c r="AF551" s="1"/>
      <c r="AG551" s="1"/>
      <c r="AH551" s="1"/>
      <c r="AI551" s="1"/>
      <c r="AJ551" s="1"/>
      <c r="AK551" s="1"/>
    </row>
    <row r="552" ht="30.0" customHeight="1">
      <c r="A552" s="1"/>
      <c r="B552" s="1"/>
      <c r="C552" s="2"/>
      <c r="D552" s="2"/>
      <c r="E552" s="2"/>
      <c r="F552" s="2"/>
      <c r="G552" s="2"/>
      <c r="H552" s="2"/>
      <c r="I552" s="2"/>
      <c r="J552" s="2"/>
      <c r="K552" s="2"/>
      <c r="L552" s="2"/>
      <c r="M552" s="2"/>
      <c r="N552" s="1"/>
      <c r="O552" s="2"/>
      <c r="P552" s="2"/>
      <c r="Q552" s="2"/>
      <c r="R552" s="2"/>
      <c r="S552" s="2"/>
      <c r="T552" s="2"/>
      <c r="U552" s="2"/>
      <c r="V552" s="2"/>
      <c r="W552" s="2"/>
      <c r="X552" s="2"/>
      <c r="Y552" s="2"/>
      <c r="Z552" s="1"/>
      <c r="AA552" s="1"/>
      <c r="AB552" s="1"/>
      <c r="AC552" s="1"/>
      <c r="AD552" s="1"/>
      <c r="AE552" s="1"/>
      <c r="AF552" s="1"/>
      <c r="AG552" s="1"/>
      <c r="AH552" s="1"/>
      <c r="AI552" s="1"/>
      <c r="AJ552" s="1"/>
      <c r="AK552" s="1"/>
    </row>
    <row r="553" ht="30.0" customHeight="1">
      <c r="A553" s="1"/>
      <c r="B553" s="1"/>
      <c r="C553" s="2"/>
      <c r="D553" s="2"/>
      <c r="E553" s="2"/>
      <c r="F553" s="2"/>
      <c r="G553" s="2"/>
      <c r="H553" s="2"/>
      <c r="I553" s="2"/>
      <c r="J553" s="2"/>
      <c r="K553" s="2"/>
      <c r="L553" s="2"/>
      <c r="M553" s="2"/>
      <c r="N553" s="1"/>
      <c r="O553" s="2"/>
      <c r="P553" s="2"/>
      <c r="Q553" s="2"/>
      <c r="R553" s="2"/>
      <c r="S553" s="2"/>
      <c r="T553" s="2"/>
      <c r="U553" s="2"/>
      <c r="V553" s="2"/>
      <c r="W553" s="2"/>
      <c r="X553" s="2"/>
      <c r="Y553" s="2"/>
      <c r="Z553" s="1"/>
      <c r="AA553" s="1"/>
      <c r="AB553" s="1"/>
      <c r="AC553" s="1"/>
      <c r="AD553" s="1"/>
      <c r="AE553" s="1"/>
      <c r="AF553" s="1"/>
      <c r="AG553" s="1"/>
      <c r="AH553" s="1"/>
      <c r="AI553" s="1"/>
      <c r="AJ553" s="1"/>
      <c r="AK553" s="1"/>
    </row>
    <row r="554" ht="30.0" customHeight="1">
      <c r="A554" s="1"/>
      <c r="B554" s="1"/>
      <c r="C554" s="2"/>
      <c r="D554" s="2"/>
      <c r="E554" s="2"/>
      <c r="F554" s="2"/>
      <c r="G554" s="2"/>
      <c r="H554" s="2"/>
      <c r="I554" s="2"/>
      <c r="J554" s="2"/>
      <c r="K554" s="2"/>
      <c r="L554" s="2"/>
      <c r="M554" s="2"/>
      <c r="N554" s="1"/>
      <c r="O554" s="2"/>
      <c r="P554" s="2"/>
      <c r="Q554" s="2"/>
      <c r="R554" s="2"/>
      <c r="S554" s="2"/>
      <c r="T554" s="2"/>
      <c r="U554" s="2"/>
      <c r="V554" s="2"/>
      <c r="W554" s="2"/>
      <c r="X554" s="2"/>
      <c r="Y554" s="2"/>
      <c r="Z554" s="1"/>
      <c r="AA554" s="1"/>
      <c r="AB554" s="1"/>
      <c r="AC554" s="1"/>
      <c r="AD554" s="1"/>
      <c r="AE554" s="1"/>
      <c r="AF554" s="1"/>
      <c r="AG554" s="1"/>
      <c r="AH554" s="1"/>
      <c r="AI554" s="1"/>
      <c r="AJ554" s="1"/>
      <c r="AK554" s="1"/>
    </row>
    <row r="555" ht="30.0" customHeight="1">
      <c r="A555" s="1"/>
      <c r="B555" s="1"/>
      <c r="C555" s="2"/>
      <c r="D555" s="2"/>
      <c r="E555" s="2"/>
      <c r="F555" s="2"/>
      <c r="G555" s="2"/>
      <c r="H555" s="2"/>
      <c r="I555" s="2"/>
      <c r="J555" s="2"/>
      <c r="K555" s="2"/>
      <c r="L555" s="2"/>
      <c r="M555" s="2"/>
      <c r="N555" s="1"/>
      <c r="O555" s="2"/>
      <c r="P555" s="2"/>
      <c r="Q555" s="2"/>
      <c r="R555" s="2"/>
      <c r="S555" s="2"/>
      <c r="T555" s="2"/>
      <c r="U555" s="2"/>
      <c r="V555" s="2"/>
      <c r="W555" s="2"/>
      <c r="X555" s="2"/>
      <c r="Y555" s="2"/>
      <c r="Z555" s="1"/>
      <c r="AA555" s="1"/>
      <c r="AB555" s="1"/>
      <c r="AC555" s="1"/>
      <c r="AD555" s="1"/>
      <c r="AE555" s="1"/>
      <c r="AF555" s="1"/>
      <c r="AG555" s="1"/>
      <c r="AH555" s="1"/>
      <c r="AI555" s="1"/>
      <c r="AJ555" s="1"/>
      <c r="AK555" s="1"/>
    </row>
    <row r="556" ht="30.0" customHeight="1">
      <c r="A556" s="1"/>
      <c r="B556" s="1"/>
      <c r="C556" s="2"/>
      <c r="D556" s="2"/>
      <c r="E556" s="2"/>
      <c r="F556" s="2"/>
      <c r="G556" s="2"/>
      <c r="H556" s="2"/>
      <c r="I556" s="2"/>
      <c r="J556" s="2"/>
      <c r="K556" s="2"/>
      <c r="L556" s="2"/>
      <c r="M556" s="2"/>
      <c r="N556" s="1"/>
      <c r="O556" s="2"/>
      <c r="P556" s="2"/>
      <c r="Q556" s="2"/>
      <c r="R556" s="2"/>
      <c r="S556" s="2"/>
      <c r="T556" s="2"/>
      <c r="U556" s="2"/>
      <c r="V556" s="2"/>
      <c r="W556" s="2"/>
      <c r="X556" s="2"/>
      <c r="Y556" s="2"/>
      <c r="Z556" s="1"/>
      <c r="AA556" s="1"/>
      <c r="AB556" s="1"/>
      <c r="AC556" s="1"/>
      <c r="AD556" s="1"/>
      <c r="AE556" s="1"/>
      <c r="AF556" s="1"/>
      <c r="AG556" s="1"/>
      <c r="AH556" s="1"/>
      <c r="AI556" s="1"/>
      <c r="AJ556" s="1"/>
      <c r="AK556" s="1"/>
    </row>
    <row r="557" ht="30.0" customHeight="1">
      <c r="A557" s="1"/>
      <c r="B557" s="1"/>
      <c r="C557" s="2"/>
      <c r="D557" s="2"/>
      <c r="E557" s="2"/>
      <c r="F557" s="2"/>
      <c r="G557" s="2"/>
      <c r="H557" s="2"/>
      <c r="I557" s="2"/>
      <c r="J557" s="2"/>
      <c r="K557" s="2"/>
      <c r="L557" s="2"/>
      <c r="M557" s="2"/>
      <c r="N557" s="1"/>
      <c r="O557" s="2"/>
      <c r="P557" s="2"/>
      <c r="Q557" s="2"/>
      <c r="R557" s="2"/>
      <c r="S557" s="2"/>
      <c r="T557" s="2"/>
      <c r="U557" s="2"/>
      <c r="V557" s="2"/>
      <c r="W557" s="2"/>
      <c r="X557" s="2"/>
      <c r="Y557" s="2"/>
      <c r="Z557" s="1"/>
      <c r="AA557" s="1"/>
      <c r="AB557" s="1"/>
      <c r="AC557" s="1"/>
      <c r="AD557" s="1"/>
      <c r="AE557" s="1"/>
      <c r="AF557" s="1"/>
      <c r="AG557" s="1"/>
      <c r="AH557" s="1"/>
      <c r="AI557" s="1"/>
      <c r="AJ557" s="1"/>
      <c r="AK557" s="1"/>
    </row>
    <row r="558" ht="30.0" customHeight="1">
      <c r="A558" s="1"/>
      <c r="B558" s="1"/>
      <c r="C558" s="2"/>
      <c r="D558" s="2"/>
      <c r="E558" s="2"/>
      <c r="F558" s="2"/>
      <c r="G558" s="2"/>
      <c r="H558" s="2"/>
      <c r="I558" s="2"/>
      <c r="J558" s="2"/>
      <c r="K558" s="2"/>
      <c r="L558" s="2"/>
      <c r="M558" s="2"/>
      <c r="N558" s="1"/>
      <c r="O558" s="2"/>
      <c r="P558" s="2"/>
      <c r="Q558" s="2"/>
      <c r="R558" s="2"/>
      <c r="S558" s="2"/>
      <c r="T558" s="2"/>
      <c r="U558" s="2"/>
      <c r="V558" s="2"/>
      <c r="W558" s="2"/>
      <c r="X558" s="2"/>
      <c r="Y558" s="2"/>
      <c r="Z558" s="1"/>
      <c r="AA558" s="1"/>
      <c r="AB558" s="1"/>
      <c r="AC558" s="1"/>
      <c r="AD558" s="1"/>
      <c r="AE558" s="1"/>
      <c r="AF558" s="1"/>
      <c r="AG558" s="1"/>
      <c r="AH558" s="1"/>
      <c r="AI558" s="1"/>
      <c r="AJ558" s="1"/>
      <c r="AK558" s="1"/>
    </row>
    <row r="559" ht="30.0" customHeight="1">
      <c r="A559" s="1"/>
      <c r="B559" s="1"/>
      <c r="C559" s="2"/>
      <c r="D559" s="2"/>
      <c r="E559" s="2"/>
      <c r="F559" s="2"/>
      <c r="G559" s="2"/>
      <c r="H559" s="2"/>
      <c r="I559" s="2"/>
      <c r="J559" s="2"/>
      <c r="K559" s="2"/>
      <c r="L559" s="2"/>
      <c r="M559" s="2"/>
      <c r="N559" s="1"/>
      <c r="O559" s="2"/>
      <c r="P559" s="2"/>
      <c r="Q559" s="2"/>
      <c r="R559" s="2"/>
      <c r="S559" s="2"/>
      <c r="T559" s="2"/>
      <c r="U559" s="2"/>
      <c r="V559" s="2"/>
      <c r="W559" s="2"/>
      <c r="X559" s="2"/>
      <c r="Y559" s="2"/>
      <c r="Z559" s="1"/>
      <c r="AA559" s="1"/>
      <c r="AB559" s="1"/>
      <c r="AC559" s="1"/>
      <c r="AD559" s="1"/>
      <c r="AE559" s="1"/>
      <c r="AF559" s="1"/>
      <c r="AG559" s="1"/>
      <c r="AH559" s="1"/>
      <c r="AI559" s="1"/>
      <c r="AJ559" s="1"/>
      <c r="AK559" s="1"/>
    </row>
    <row r="560" ht="30.0" customHeight="1">
      <c r="A560" s="1"/>
      <c r="B560" s="1"/>
      <c r="C560" s="2"/>
      <c r="D560" s="2"/>
      <c r="E560" s="2"/>
      <c r="F560" s="2"/>
      <c r="G560" s="2"/>
      <c r="H560" s="2"/>
      <c r="I560" s="2"/>
      <c r="J560" s="2"/>
      <c r="K560" s="2"/>
      <c r="L560" s="2"/>
      <c r="M560" s="2"/>
      <c r="N560" s="1"/>
      <c r="O560" s="2"/>
      <c r="P560" s="2"/>
      <c r="Q560" s="2"/>
      <c r="R560" s="2"/>
      <c r="S560" s="2"/>
      <c r="T560" s="2"/>
      <c r="U560" s="2"/>
      <c r="V560" s="2"/>
      <c r="W560" s="2"/>
      <c r="X560" s="2"/>
      <c r="Y560" s="2"/>
      <c r="Z560" s="1"/>
      <c r="AA560" s="1"/>
      <c r="AB560" s="1"/>
      <c r="AC560" s="1"/>
      <c r="AD560" s="1"/>
      <c r="AE560" s="1"/>
      <c r="AF560" s="1"/>
      <c r="AG560" s="1"/>
      <c r="AH560" s="1"/>
      <c r="AI560" s="1"/>
      <c r="AJ560" s="1"/>
      <c r="AK560" s="1"/>
    </row>
    <row r="561" ht="30.0" customHeight="1">
      <c r="A561" s="1"/>
      <c r="B561" s="1"/>
      <c r="C561" s="2"/>
      <c r="D561" s="2"/>
      <c r="E561" s="2"/>
      <c r="F561" s="2"/>
      <c r="G561" s="2"/>
      <c r="H561" s="2"/>
      <c r="I561" s="2"/>
      <c r="J561" s="2"/>
      <c r="K561" s="2"/>
      <c r="L561" s="2"/>
      <c r="M561" s="2"/>
      <c r="N561" s="1"/>
      <c r="O561" s="2"/>
      <c r="P561" s="2"/>
      <c r="Q561" s="2"/>
      <c r="R561" s="2"/>
      <c r="S561" s="2"/>
      <c r="T561" s="2"/>
      <c r="U561" s="2"/>
      <c r="V561" s="2"/>
      <c r="W561" s="2"/>
      <c r="X561" s="2"/>
      <c r="Y561" s="2"/>
      <c r="Z561" s="1"/>
      <c r="AA561" s="1"/>
      <c r="AB561" s="1"/>
      <c r="AC561" s="1"/>
      <c r="AD561" s="1"/>
      <c r="AE561" s="1"/>
      <c r="AF561" s="1"/>
      <c r="AG561" s="1"/>
      <c r="AH561" s="1"/>
      <c r="AI561" s="1"/>
      <c r="AJ561" s="1"/>
      <c r="AK561" s="1"/>
    </row>
    <row r="562" ht="30.0" customHeight="1">
      <c r="A562" s="1"/>
      <c r="B562" s="1"/>
      <c r="C562" s="2"/>
      <c r="D562" s="2"/>
      <c r="E562" s="2"/>
      <c r="F562" s="2"/>
      <c r="G562" s="2"/>
      <c r="H562" s="2"/>
      <c r="I562" s="2"/>
      <c r="J562" s="2"/>
      <c r="K562" s="2"/>
      <c r="L562" s="2"/>
      <c r="M562" s="2"/>
      <c r="N562" s="1"/>
      <c r="O562" s="2"/>
      <c r="P562" s="2"/>
      <c r="Q562" s="2"/>
      <c r="R562" s="2"/>
      <c r="S562" s="2"/>
      <c r="T562" s="2"/>
      <c r="U562" s="2"/>
      <c r="V562" s="2"/>
      <c r="W562" s="2"/>
      <c r="X562" s="2"/>
      <c r="Y562" s="2"/>
      <c r="Z562" s="1"/>
      <c r="AA562" s="1"/>
      <c r="AB562" s="1"/>
      <c r="AC562" s="1"/>
      <c r="AD562" s="1"/>
      <c r="AE562" s="1"/>
      <c r="AF562" s="1"/>
      <c r="AG562" s="1"/>
      <c r="AH562" s="1"/>
      <c r="AI562" s="1"/>
      <c r="AJ562" s="1"/>
      <c r="AK562" s="1"/>
    </row>
    <row r="563" ht="30.0" customHeight="1">
      <c r="A563" s="1"/>
      <c r="B563" s="1"/>
      <c r="C563" s="2"/>
      <c r="D563" s="2"/>
      <c r="E563" s="2"/>
      <c r="F563" s="2"/>
      <c r="G563" s="2"/>
      <c r="H563" s="2"/>
      <c r="I563" s="2"/>
      <c r="J563" s="2"/>
      <c r="K563" s="2"/>
      <c r="L563" s="2"/>
      <c r="M563" s="2"/>
      <c r="N563" s="1"/>
      <c r="O563" s="2"/>
      <c r="P563" s="2"/>
      <c r="Q563" s="2"/>
      <c r="R563" s="2"/>
      <c r="S563" s="2"/>
      <c r="T563" s="2"/>
      <c r="U563" s="2"/>
      <c r="V563" s="2"/>
      <c r="W563" s="2"/>
      <c r="X563" s="2"/>
      <c r="Y563" s="2"/>
      <c r="Z563" s="1"/>
      <c r="AA563" s="1"/>
      <c r="AB563" s="1"/>
      <c r="AC563" s="1"/>
      <c r="AD563" s="1"/>
      <c r="AE563" s="1"/>
      <c r="AF563" s="1"/>
      <c r="AG563" s="1"/>
      <c r="AH563" s="1"/>
      <c r="AI563" s="1"/>
      <c r="AJ563" s="1"/>
      <c r="AK563" s="1"/>
    </row>
    <row r="564" ht="30.0" customHeight="1">
      <c r="A564" s="1"/>
      <c r="B564" s="1"/>
      <c r="C564" s="2"/>
      <c r="D564" s="2"/>
      <c r="E564" s="2"/>
      <c r="F564" s="2"/>
      <c r="G564" s="2"/>
      <c r="H564" s="2"/>
      <c r="I564" s="2"/>
      <c r="J564" s="2"/>
      <c r="K564" s="2"/>
      <c r="L564" s="2"/>
      <c r="M564" s="2"/>
      <c r="N564" s="1"/>
      <c r="O564" s="2"/>
      <c r="P564" s="2"/>
      <c r="Q564" s="2"/>
      <c r="R564" s="2"/>
      <c r="S564" s="2"/>
      <c r="T564" s="2"/>
      <c r="U564" s="2"/>
      <c r="V564" s="2"/>
      <c r="W564" s="2"/>
      <c r="X564" s="2"/>
      <c r="Y564" s="2"/>
      <c r="Z564" s="1"/>
      <c r="AA564" s="1"/>
      <c r="AB564" s="1"/>
      <c r="AC564" s="1"/>
      <c r="AD564" s="1"/>
      <c r="AE564" s="1"/>
      <c r="AF564" s="1"/>
      <c r="AG564" s="1"/>
      <c r="AH564" s="1"/>
      <c r="AI564" s="1"/>
      <c r="AJ564" s="1"/>
      <c r="AK564" s="1"/>
    </row>
    <row r="565" ht="30.0" customHeight="1">
      <c r="A565" s="1"/>
      <c r="B565" s="1"/>
      <c r="C565" s="2"/>
      <c r="D565" s="2"/>
      <c r="E565" s="2"/>
      <c r="F565" s="2"/>
      <c r="G565" s="2"/>
      <c r="H565" s="2"/>
      <c r="I565" s="2"/>
      <c r="J565" s="2"/>
      <c r="K565" s="2"/>
      <c r="L565" s="2"/>
      <c r="M565" s="2"/>
      <c r="N565" s="1"/>
      <c r="O565" s="2"/>
      <c r="P565" s="2"/>
      <c r="Q565" s="2"/>
      <c r="R565" s="2"/>
      <c r="S565" s="2"/>
      <c r="T565" s="2"/>
      <c r="U565" s="2"/>
      <c r="V565" s="2"/>
      <c r="W565" s="2"/>
      <c r="X565" s="2"/>
      <c r="Y565" s="2"/>
      <c r="Z565" s="1"/>
      <c r="AA565" s="1"/>
      <c r="AB565" s="1"/>
      <c r="AC565" s="1"/>
      <c r="AD565" s="1"/>
      <c r="AE565" s="1"/>
      <c r="AF565" s="1"/>
      <c r="AG565" s="1"/>
      <c r="AH565" s="1"/>
      <c r="AI565" s="1"/>
      <c r="AJ565" s="1"/>
      <c r="AK565" s="1"/>
    </row>
    <row r="566" ht="30.0" customHeight="1">
      <c r="A566" s="1"/>
      <c r="B566" s="1"/>
      <c r="C566" s="2"/>
      <c r="D566" s="2"/>
      <c r="E566" s="2"/>
      <c r="F566" s="2"/>
      <c r="G566" s="2"/>
      <c r="H566" s="2"/>
      <c r="I566" s="2"/>
      <c r="J566" s="2"/>
      <c r="K566" s="2"/>
      <c r="L566" s="2"/>
      <c r="M566" s="2"/>
      <c r="N566" s="1"/>
      <c r="O566" s="2"/>
      <c r="P566" s="2"/>
      <c r="Q566" s="2"/>
      <c r="R566" s="2"/>
      <c r="S566" s="2"/>
      <c r="T566" s="2"/>
      <c r="U566" s="2"/>
      <c r="V566" s="2"/>
      <c r="W566" s="2"/>
      <c r="X566" s="2"/>
      <c r="Y566" s="2"/>
      <c r="Z566" s="1"/>
      <c r="AA566" s="1"/>
      <c r="AB566" s="1"/>
      <c r="AC566" s="1"/>
      <c r="AD566" s="1"/>
      <c r="AE566" s="1"/>
      <c r="AF566" s="1"/>
      <c r="AG566" s="1"/>
      <c r="AH566" s="1"/>
      <c r="AI566" s="1"/>
      <c r="AJ566" s="1"/>
      <c r="AK566" s="1"/>
    </row>
    <row r="567" ht="30.0" customHeight="1">
      <c r="A567" s="1"/>
      <c r="B567" s="1"/>
      <c r="C567" s="2"/>
      <c r="D567" s="2"/>
      <c r="E567" s="2"/>
      <c r="F567" s="2"/>
      <c r="G567" s="2"/>
      <c r="H567" s="2"/>
      <c r="I567" s="2"/>
      <c r="J567" s="2"/>
      <c r="K567" s="2"/>
      <c r="L567" s="2"/>
      <c r="M567" s="2"/>
      <c r="N567" s="1"/>
      <c r="O567" s="2"/>
      <c r="P567" s="2"/>
      <c r="Q567" s="2"/>
      <c r="R567" s="2"/>
      <c r="S567" s="2"/>
      <c r="T567" s="2"/>
      <c r="U567" s="2"/>
      <c r="V567" s="2"/>
      <c r="W567" s="2"/>
      <c r="X567" s="2"/>
      <c r="Y567" s="2"/>
      <c r="Z567" s="1"/>
      <c r="AA567" s="1"/>
      <c r="AB567" s="1"/>
      <c r="AC567" s="1"/>
      <c r="AD567" s="1"/>
      <c r="AE567" s="1"/>
      <c r="AF567" s="1"/>
      <c r="AG567" s="1"/>
      <c r="AH567" s="1"/>
      <c r="AI567" s="1"/>
      <c r="AJ567" s="1"/>
      <c r="AK567" s="1"/>
    </row>
    <row r="568" ht="30.0" customHeight="1">
      <c r="A568" s="1"/>
      <c r="B568" s="1"/>
      <c r="C568" s="2"/>
      <c r="D568" s="2"/>
      <c r="E568" s="2"/>
      <c r="F568" s="2"/>
      <c r="G568" s="2"/>
      <c r="H568" s="2"/>
      <c r="I568" s="2"/>
      <c r="J568" s="2"/>
      <c r="K568" s="2"/>
      <c r="L568" s="2"/>
      <c r="M568" s="2"/>
      <c r="N568" s="1"/>
      <c r="O568" s="2"/>
      <c r="P568" s="2"/>
      <c r="Q568" s="2"/>
      <c r="R568" s="2"/>
      <c r="S568" s="2"/>
      <c r="T568" s="2"/>
      <c r="U568" s="2"/>
      <c r="V568" s="2"/>
      <c r="W568" s="2"/>
      <c r="X568" s="2"/>
      <c r="Y568" s="2"/>
      <c r="Z568" s="1"/>
      <c r="AA568" s="1"/>
      <c r="AB568" s="1"/>
      <c r="AC568" s="1"/>
      <c r="AD568" s="1"/>
      <c r="AE568" s="1"/>
      <c r="AF568" s="1"/>
      <c r="AG568" s="1"/>
      <c r="AH568" s="1"/>
      <c r="AI568" s="1"/>
      <c r="AJ568" s="1"/>
      <c r="AK568" s="1"/>
    </row>
    <row r="569" ht="30.0" customHeight="1">
      <c r="A569" s="1"/>
      <c r="B569" s="1"/>
      <c r="C569" s="2"/>
      <c r="D569" s="2"/>
      <c r="E569" s="2"/>
      <c r="F569" s="2"/>
      <c r="G569" s="2"/>
      <c r="H569" s="2"/>
      <c r="I569" s="2"/>
      <c r="J569" s="2"/>
      <c r="K569" s="2"/>
      <c r="L569" s="2"/>
      <c r="M569" s="2"/>
      <c r="N569" s="1"/>
      <c r="O569" s="2"/>
      <c r="P569" s="2"/>
      <c r="Q569" s="2"/>
      <c r="R569" s="2"/>
      <c r="S569" s="2"/>
      <c r="T569" s="2"/>
      <c r="U569" s="2"/>
      <c r="V569" s="2"/>
      <c r="W569" s="2"/>
      <c r="X569" s="2"/>
      <c r="Y569" s="2"/>
      <c r="Z569" s="1"/>
      <c r="AA569" s="1"/>
      <c r="AB569" s="1"/>
      <c r="AC569" s="1"/>
      <c r="AD569" s="1"/>
      <c r="AE569" s="1"/>
      <c r="AF569" s="1"/>
      <c r="AG569" s="1"/>
      <c r="AH569" s="1"/>
      <c r="AI569" s="1"/>
      <c r="AJ569" s="1"/>
      <c r="AK569" s="1"/>
    </row>
    <row r="570" ht="30.0" customHeight="1">
      <c r="A570" s="1"/>
      <c r="B570" s="1"/>
      <c r="C570" s="2"/>
      <c r="D570" s="2"/>
      <c r="E570" s="2"/>
      <c r="F570" s="2"/>
      <c r="G570" s="2"/>
      <c r="H570" s="2"/>
      <c r="I570" s="2"/>
      <c r="J570" s="2"/>
      <c r="K570" s="2"/>
      <c r="L570" s="2"/>
      <c r="M570" s="2"/>
      <c r="N570" s="1"/>
      <c r="O570" s="2"/>
      <c r="P570" s="2"/>
      <c r="Q570" s="2"/>
      <c r="R570" s="2"/>
      <c r="S570" s="2"/>
      <c r="T570" s="2"/>
      <c r="U570" s="2"/>
      <c r="V570" s="2"/>
      <c r="W570" s="2"/>
      <c r="X570" s="2"/>
      <c r="Y570" s="2"/>
      <c r="Z570" s="1"/>
      <c r="AA570" s="1"/>
      <c r="AB570" s="1"/>
      <c r="AC570" s="1"/>
      <c r="AD570" s="1"/>
      <c r="AE570" s="1"/>
      <c r="AF570" s="1"/>
      <c r="AG570" s="1"/>
      <c r="AH570" s="1"/>
      <c r="AI570" s="1"/>
      <c r="AJ570" s="1"/>
      <c r="AK570" s="1"/>
    </row>
    <row r="571" ht="30.0" customHeight="1">
      <c r="A571" s="1"/>
      <c r="B571" s="1"/>
      <c r="C571" s="2"/>
      <c r="D571" s="2"/>
      <c r="E571" s="2"/>
      <c r="F571" s="2"/>
      <c r="G571" s="2"/>
      <c r="H571" s="2"/>
      <c r="I571" s="2"/>
      <c r="J571" s="2"/>
      <c r="K571" s="2"/>
      <c r="L571" s="2"/>
      <c r="M571" s="2"/>
      <c r="N571" s="1"/>
      <c r="O571" s="2"/>
      <c r="P571" s="2"/>
      <c r="Q571" s="2"/>
      <c r="R571" s="2"/>
      <c r="S571" s="2"/>
      <c r="T571" s="2"/>
      <c r="U571" s="2"/>
      <c r="V571" s="2"/>
      <c r="W571" s="2"/>
      <c r="X571" s="2"/>
      <c r="Y571" s="2"/>
      <c r="Z571" s="1"/>
      <c r="AA571" s="1"/>
      <c r="AB571" s="1"/>
      <c r="AC571" s="1"/>
      <c r="AD571" s="1"/>
      <c r="AE571" s="1"/>
      <c r="AF571" s="1"/>
      <c r="AG571" s="1"/>
      <c r="AH571" s="1"/>
      <c r="AI571" s="1"/>
      <c r="AJ571" s="1"/>
      <c r="AK571" s="1"/>
    </row>
    <row r="572" ht="30.0" customHeight="1">
      <c r="A572" s="1"/>
      <c r="B572" s="1"/>
      <c r="C572" s="2"/>
      <c r="D572" s="2"/>
      <c r="E572" s="2"/>
      <c r="F572" s="2"/>
      <c r="G572" s="2"/>
      <c r="H572" s="2"/>
      <c r="I572" s="2"/>
      <c r="J572" s="2"/>
      <c r="K572" s="2"/>
      <c r="L572" s="2"/>
      <c r="M572" s="2"/>
      <c r="N572" s="1"/>
      <c r="O572" s="2"/>
      <c r="P572" s="2"/>
      <c r="Q572" s="2"/>
      <c r="R572" s="2"/>
      <c r="S572" s="2"/>
      <c r="T572" s="2"/>
      <c r="U572" s="2"/>
      <c r="V572" s="2"/>
      <c r="W572" s="2"/>
      <c r="X572" s="2"/>
      <c r="Y572" s="2"/>
      <c r="Z572" s="1"/>
      <c r="AA572" s="1"/>
      <c r="AB572" s="1"/>
      <c r="AC572" s="1"/>
      <c r="AD572" s="1"/>
      <c r="AE572" s="1"/>
      <c r="AF572" s="1"/>
      <c r="AG572" s="1"/>
      <c r="AH572" s="1"/>
      <c r="AI572" s="1"/>
      <c r="AJ572" s="1"/>
      <c r="AK572" s="1"/>
    </row>
    <row r="573" ht="30.0" customHeight="1">
      <c r="A573" s="1"/>
      <c r="B573" s="1"/>
      <c r="C573" s="2"/>
      <c r="D573" s="2"/>
      <c r="E573" s="2"/>
      <c r="F573" s="2"/>
      <c r="G573" s="2"/>
      <c r="H573" s="2"/>
      <c r="I573" s="2"/>
      <c r="J573" s="2"/>
      <c r="K573" s="2"/>
      <c r="L573" s="2"/>
      <c r="M573" s="2"/>
      <c r="N573" s="1"/>
      <c r="O573" s="2"/>
      <c r="P573" s="2"/>
      <c r="Q573" s="2"/>
      <c r="R573" s="2"/>
      <c r="S573" s="2"/>
      <c r="T573" s="2"/>
      <c r="U573" s="2"/>
      <c r="V573" s="2"/>
      <c r="W573" s="2"/>
      <c r="X573" s="2"/>
      <c r="Y573" s="2"/>
      <c r="Z573" s="1"/>
      <c r="AA573" s="1"/>
      <c r="AB573" s="1"/>
      <c r="AC573" s="1"/>
      <c r="AD573" s="1"/>
      <c r="AE573" s="1"/>
      <c r="AF573" s="1"/>
      <c r="AG573" s="1"/>
      <c r="AH573" s="1"/>
      <c r="AI573" s="1"/>
      <c r="AJ573" s="1"/>
      <c r="AK573" s="1"/>
    </row>
    <row r="574" ht="30.0" customHeight="1">
      <c r="A574" s="1"/>
      <c r="B574" s="1"/>
      <c r="C574" s="2"/>
      <c r="D574" s="2"/>
      <c r="E574" s="2"/>
      <c r="F574" s="2"/>
      <c r="G574" s="2"/>
      <c r="H574" s="2"/>
      <c r="I574" s="2"/>
      <c r="J574" s="2"/>
      <c r="K574" s="2"/>
      <c r="L574" s="2"/>
      <c r="M574" s="2"/>
      <c r="N574" s="1"/>
      <c r="O574" s="2"/>
      <c r="P574" s="2"/>
      <c r="Q574" s="2"/>
      <c r="R574" s="2"/>
      <c r="S574" s="2"/>
      <c r="T574" s="2"/>
      <c r="U574" s="2"/>
      <c r="V574" s="2"/>
      <c r="W574" s="2"/>
      <c r="X574" s="2"/>
      <c r="Y574" s="2"/>
      <c r="Z574" s="1"/>
      <c r="AA574" s="1"/>
      <c r="AB574" s="1"/>
      <c r="AC574" s="1"/>
      <c r="AD574" s="1"/>
      <c r="AE574" s="1"/>
      <c r="AF574" s="1"/>
      <c r="AG574" s="1"/>
      <c r="AH574" s="1"/>
      <c r="AI574" s="1"/>
      <c r="AJ574" s="1"/>
      <c r="AK574" s="1"/>
    </row>
    <row r="575" ht="30.0" customHeight="1">
      <c r="A575" s="1"/>
      <c r="B575" s="1"/>
      <c r="C575" s="2"/>
      <c r="D575" s="2"/>
      <c r="E575" s="2"/>
      <c r="F575" s="2"/>
      <c r="G575" s="2"/>
      <c r="H575" s="2"/>
      <c r="I575" s="2"/>
      <c r="J575" s="2"/>
      <c r="K575" s="2"/>
      <c r="L575" s="2"/>
      <c r="M575" s="2"/>
      <c r="N575" s="1"/>
      <c r="O575" s="2"/>
      <c r="P575" s="2"/>
      <c r="Q575" s="2"/>
      <c r="R575" s="2"/>
      <c r="S575" s="2"/>
      <c r="T575" s="2"/>
      <c r="U575" s="2"/>
      <c r="V575" s="2"/>
      <c r="W575" s="2"/>
      <c r="X575" s="2"/>
      <c r="Y575" s="2"/>
      <c r="Z575" s="1"/>
      <c r="AA575" s="1"/>
      <c r="AB575" s="1"/>
      <c r="AC575" s="1"/>
      <c r="AD575" s="1"/>
      <c r="AE575" s="1"/>
      <c r="AF575" s="1"/>
      <c r="AG575" s="1"/>
      <c r="AH575" s="1"/>
      <c r="AI575" s="1"/>
      <c r="AJ575" s="1"/>
      <c r="AK575" s="1"/>
    </row>
    <row r="576" ht="30.0" customHeight="1">
      <c r="A576" s="1"/>
      <c r="B576" s="1"/>
      <c r="C576" s="2"/>
      <c r="D576" s="2"/>
      <c r="E576" s="2"/>
      <c r="F576" s="2"/>
      <c r="G576" s="2"/>
      <c r="H576" s="2"/>
      <c r="I576" s="2"/>
      <c r="J576" s="2"/>
      <c r="K576" s="2"/>
      <c r="L576" s="2"/>
      <c r="M576" s="2"/>
      <c r="N576" s="1"/>
      <c r="O576" s="2"/>
      <c r="P576" s="2"/>
      <c r="Q576" s="2"/>
      <c r="R576" s="2"/>
      <c r="S576" s="2"/>
      <c r="T576" s="2"/>
      <c r="U576" s="2"/>
      <c r="V576" s="2"/>
      <c r="W576" s="2"/>
      <c r="X576" s="2"/>
      <c r="Y576" s="2"/>
      <c r="Z576" s="1"/>
      <c r="AA576" s="1"/>
      <c r="AB576" s="1"/>
      <c r="AC576" s="1"/>
      <c r="AD576" s="1"/>
      <c r="AE576" s="1"/>
      <c r="AF576" s="1"/>
      <c r="AG576" s="1"/>
      <c r="AH576" s="1"/>
      <c r="AI576" s="1"/>
      <c r="AJ576" s="1"/>
      <c r="AK576" s="1"/>
    </row>
    <row r="577" ht="30.0" customHeight="1">
      <c r="A577" s="1"/>
      <c r="B577" s="1"/>
      <c r="C577" s="2"/>
      <c r="D577" s="2"/>
      <c r="E577" s="2"/>
      <c r="F577" s="2"/>
      <c r="G577" s="2"/>
      <c r="H577" s="2"/>
      <c r="I577" s="2"/>
      <c r="J577" s="2"/>
      <c r="K577" s="2"/>
      <c r="L577" s="2"/>
      <c r="M577" s="2"/>
      <c r="N577" s="1"/>
      <c r="O577" s="2"/>
      <c r="P577" s="2"/>
      <c r="Q577" s="2"/>
      <c r="R577" s="2"/>
      <c r="S577" s="2"/>
      <c r="T577" s="2"/>
      <c r="U577" s="2"/>
      <c r="V577" s="2"/>
      <c r="W577" s="2"/>
      <c r="X577" s="2"/>
      <c r="Y577" s="2"/>
      <c r="Z577" s="1"/>
      <c r="AA577" s="1"/>
      <c r="AB577" s="1"/>
      <c r="AC577" s="1"/>
      <c r="AD577" s="1"/>
      <c r="AE577" s="1"/>
      <c r="AF577" s="1"/>
      <c r="AG577" s="1"/>
      <c r="AH577" s="1"/>
      <c r="AI577" s="1"/>
      <c r="AJ577" s="1"/>
      <c r="AK577" s="1"/>
    </row>
    <row r="578" ht="30.0" customHeight="1">
      <c r="A578" s="1"/>
      <c r="B578" s="1"/>
      <c r="C578" s="2"/>
      <c r="D578" s="2"/>
      <c r="E578" s="2"/>
      <c r="F578" s="2"/>
      <c r="G578" s="2"/>
      <c r="H578" s="2"/>
      <c r="I578" s="2"/>
      <c r="J578" s="2"/>
      <c r="K578" s="2"/>
      <c r="L578" s="2"/>
      <c r="M578" s="2"/>
      <c r="N578" s="1"/>
      <c r="O578" s="2"/>
      <c r="P578" s="2"/>
      <c r="Q578" s="2"/>
      <c r="R578" s="2"/>
      <c r="S578" s="2"/>
      <c r="T578" s="2"/>
      <c r="U578" s="2"/>
      <c r="V578" s="2"/>
      <c r="W578" s="2"/>
      <c r="X578" s="2"/>
      <c r="Y578" s="2"/>
      <c r="Z578" s="1"/>
      <c r="AA578" s="1"/>
      <c r="AB578" s="1"/>
      <c r="AC578" s="1"/>
      <c r="AD578" s="1"/>
      <c r="AE578" s="1"/>
      <c r="AF578" s="1"/>
      <c r="AG578" s="1"/>
      <c r="AH578" s="1"/>
      <c r="AI578" s="1"/>
      <c r="AJ578" s="1"/>
      <c r="AK578" s="1"/>
    </row>
    <row r="579" ht="30.0" customHeight="1">
      <c r="A579" s="1"/>
      <c r="B579" s="1"/>
      <c r="C579" s="2"/>
      <c r="D579" s="2"/>
      <c r="E579" s="2"/>
      <c r="F579" s="2"/>
      <c r="G579" s="2"/>
      <c r="H579" s="2"/>
      <c r="I579" s="2"/>
      <c r="J579" s="2"/>
      <c r="K579" s="2"/>
      <c r="L579" s="2"/>
      <c r="M579" s="2"/>
      <c r="N579" s="1"/>
      <c r="O579" s="2"/>
      <c r="P579" s="2"/>
      <c r="Q579" s="2"/>
      <c r="R579" s="2"/>
      <c r="S579" s="2"/>
      <c r="T579" s="2"/>
      <c r="U579" s="2"/>
      <c r="V579" s="2"/>
      <c r="W579" s="2"/>
      <c r="X579" s="2"/>
      <c r="Y579" s="2"/>
      <c r="Z579" s="1"/>
      <c r="AA579" s="1"/>
      <c r="AB579" s="1"/>
      <c r="AC579" s="1"/>
      <c r="AD579" s="1"/>
      <c r="AE579" s="1"/>
      <c r="AF579" s="1"/>
      <c r="AG579" s="1"/>
      <c r="AH579" s="1"/>
      <c r="AI579" s="1"/>
      <c r="AJ579" s="1"/>
      <c r="AK579" s="1"/>
    </row>
    <row r="580" ht="30.0" customHeight="1">
      <c r="A580" s="1"/>
      <c r="B580" s="1"/>
      <c r="C580" s="2"/>
      <c r="D580" s="2"/>
      <c r="E580" s="2"/>
      <c r="F580" s="2"/>
      <c r="G580" s="2"/>
      <c r="H580" s="2"/>
      <c r="I580" s="2"/>
      <c r="J580" s="2"/>
      <c r="K580" s="2"/>
      <c r="L580" s="2"/>
      <c r="M580" s="2"/>
      <c r="N580" s="1"/>
      <c r="O580" s="2"/>
      <c r="P580" s="2"/>
      <c r="Q580" s="2"/>
      <c r="R580" s="2"/>
      <c r="S580" s="2"/>
      <c r="T580" s="2"/>
      <c r="U580" s="2"/>
      <c r="V580" s="2"/>
      <c r="W580" s="2"/>
      <c r="X580" s="2"/>
      <c r="Y580" s="2"/>
      <c r="Z580" s="1"/>
      <c r="AA580" s="1"/>
      <c r="AB580" s="1"/>
      <c r="AC580" s="1"/>
      <c r="AD580" s="1"/>
      <c r="AE580" s="1"/>
      <c r="AF580" s="1"/>
      <c r="AG580" s="1"/>
      <c r="AH580" s="1"/>
      <c r="AI580" s="1"/>
      <c r="AJ580" s="1"/>
      <c r="AK580" s="1"/>
    </row>
    <row r="581" ht="30.0" customHeight="1">
      <c r="A581" s="1"/>
      <c r="B581" s="1"/>
      <c r="C581" s="2"/>
      <c r="D581" s="2"/>
      <c r="E581" s="2"/>
      <c r="F581" s="2"/>
      <c r="G581" s="2"/>
      <c r="H581" s="2"/>
      <c r="I581" s="2"/>
      <c r="J581" s="2"/>
      <c r="K581" s="2"/>
      <c r="L581" s="2"/>
      <c r="M581" s="2"/>
      <c r="N581" s="1"/>
      <c r="O581" s="2"/>
      <c r="P581" s="2"/>
      <c r="Q581" s="2"/>
      <c r="R581" s="2"/>
      <c r="S581" s="2"/>
      <c r="T581" s="2"/>
      <c r="U581" s="2"/>
      <c r="V581" s="2"/>
      <c r="W581" s="2"/>
      <c r="X581" s="2"/>
      <c r="Y581" s="2"/>
      <c r="Z581" s="1"/>
      <c r="AA581" s="1"/>
      <c r="AB581" s="1"/>
      <c r="AC581" s="1"/>
      <c r="AD581" s="1"/>
      <c r="AE581" s="1"/>
      <c r="AF581" s="1"/>
      <c r="AG581" s="1"/>
      <c r="AH581" s="1"/>
      <c r="AI581" s="1"/>
      <c r="AJ581" s="1"/>
      <c r="AK581" s="1"/>
    </row>
    <row r="582" ht="30.0" customHeight="1">
      <c r="A582" s="1"/>
      <c r="B582" s="1"/>
      <c r="C582" s="2"/>
      <c r="D582" s="2"/>
      <c r="E582" s="2"/>
      <c r="F582" s="2"/>
      <c r="G582" s="2"/>
      <c r="H582" s="2"/>
      <c r="I582" s="2"/>
      <c r="J582" s="2"/>
      <c r="K582" s="2"/>
      <c r="L582" s="2"/>
      <c r="M582" s="2"/>
      <c r="N582" s="1"/>
      <c r="O582" s="2"/>
      <c r="P582" s="2"/>
      <c r="Q582" s="2"/>
      <c r="R582" s="2"/>
      <c r="S582" s="2"/>
      <c r="T582" s="2"/>
      <c r="U582" s="2"/>
      <c r="V582" s="2"/>
      <c r="W582" s="2"/>
      <c r="X582" s="2"/>
      <c r="Y582" s="2"/>
      <c r="Z582" s="1"/>
      <c r="AA582" s="1"/>
      <c r="AB582" s="1"/>
      <c r="AC582" s="1"/>
      <c r="AD582" s="1"/>
      <c r="AE582" s="1"/>
      <c r="AF582" s="1"/>
      <c r="AG582" s="1"/>
      <c r="AH582" s="1"/>
      <c r="AI582" s="1"/>
      <c r="AJ582" s="1"/>
      <c r="AK582" s="1"/>
    </row>
    <row r="583" ht="30.0" customHeight="1">
      <c r="A583" s="1"/>
      <c r="B583" s="1"/>
      <c r="C583" s="2"/>
      <c r="D583" s="2"/>
      <c r="E583" s="2"/>
      <c r="F583" s="2"/>
      <c r="G583" s="2"/>
      <c r="H583" s="2"/>
      <c r="I583" s="2"/>
      <c r="J583" s="2"/>
      <c r="K583" s="2"/>
      <c r="L583" s="2"/>
      <c r="M583" s="2"/>
      <c r="N583" s="1"/>
      <c r="O583" s="2"/>
      <c r="P583" s="2"/>
      <c r="Q583" s="2"/>
      <c r="R583" s="2"/>
      <c r="S583" s="2"/>
      <c r="T583" s="2"/>
      <c r="U583" s="2"/>
      <c r="V583" s="2"/>
      <c r="W583" s="2"/>
      <c r="X583" s="2"/>
      <c r="Y583" s="2"/>
      <c r="Z583" s="1"/>
      <c r="AA583" s="1"/>
      <c r="AB583" s="1"/>
      <c r="AC583" s="1"/>
      <c r="AD583" s="1"/>
      <c r="AE583" s="1"/>
      <c r="AF583" s="1"/>
      <c r="AG583" s="1"/>
      <c r="AH583" s="1"/>
      <c r="AI583" s="1"/>
      <c r="AJ583" s="1"/>
      <c r="AK583" s="1"/>
    </row>
    <row r="584" ht="30.0" customHeight="1">
      <c r="A584" s="1"/>
      <c r="B584" s="1"/>
      <c r="C584" s="2"/>
      <c r="D584" s="2"/>
      <c r="E584" s="2"/>
      <c r="F584" s="2"/>
      <c r="G584" s="2"/>
      <c r="H584" s="2"/>
      <c r="I584" s="2"/>
      <c r="J584" s="2"/>
      <c r="K584" s="2"/>
      <c r="L584" s="2"/>
      <c r="M584" s="2"/>
      <c r="N584" s="1"/>
      <c r="O584" s="2"/>
      <c r="P584" s="2"/>
      <c r="Q584" s="2"/>
      <c r="R584" s="2"/>
      <c r="S584" s="2"/>
      <c r="T584" s="2"/>
      <c r="U584" s="2"/>
      <c r="V584" s="2"/>
      <c r="W584" s="2"/>
      <c r="X584" s="2"/>
      <c r="Y584" s="2"/>
      <c r="Z584" s="1"/>
      <c r="AA584" s="1"/>
      <c r="AB584" s="1"/>
      <c r="AC584" s="1"/>
      <c r="AD584" s="1"/>
      <c r="AE584" s="1"/>
      <c r="AF584" s="1"/>
      <c r="AG584" s="1"/>
      <c r="AH584" s="1"/>
      <c r="AI584" s="1"/>
      <c r="AJ584" s="1"/>
      <c r="AK584" s="1"/>
    </row>
    <row r="585" ht="30.0" customHeight="1">
      <c r="A585" s="1"/>
      <c r="B585" s="1"/>
      <c r="C585" s="2"/>
      <c r="D585" s="2"/>
      <c r="E585" s="2"/>
      <c r="F585" s="2"/>
      <c r="G585" s="2"/>
      <c r="H585" s="2"/>
      <c r="I585" s="2"/>
      <c r="J585" s="2"/>
      <c r="K585" s="2"/>
      <c r="L585" s="2"/>
      <c r="M585" s="2"/>
      <c r="N585" s="1"/>
      <c r="O585" s="2"/>
      <c r="P585" s="2"/>
      <c r="Q585" s="2"/>
      <c r="R585" s="2"/>
      <c r="S585" s="2"/>
      <c r="T585" s="2"/>
      <c r="U585" s="2"/>
      <c r="V585" s="2"/>
      <c r="W585" s="2"/>
      <c r="X585" s="2"/>
      <c r="Y585" s="2"/>
      <c r="Z585" s="1"/>
      <c r="AA585" s="1"/>
      <c r="AB585" s="1"/>
      <c r="AC585" s="1"/>
      <c r="AD585" s="1"/>
      <c r="AE585" s="1"/>
      <c r="AF585" s="1"/>
      <c r="AG585" s="1"/>
      <c r="AH585" s="1"/>
      <c r="AI585" s="1"/>
      <c r="AJ585" s="1"/>
      <c r="AK585" s="1"/>
    </row>
    <row r="586" ht="30.0" customHeight="1">
      <c r="A586" s="1"/>
      <c r="B586" s="1"/>
      <c r="C586" s="2"/>
      <c r="D586" s="2"/>
      <c r="E586" s="2"/>
      <c r="F586" s="2"/>
      <c r="G586" s="2"/>
      <c r="H586" s="2"/>
      <c r="I586" s="2"/>
      <c r="J586" s="2"/>
      <c r="K586" s="2"/>
      <c r="L586" s="2"/>
      <c r="M586" s="2"/>
      <c r="N586" s="1"/>
      <c r="O586" s="2"/>
      <c r="P586" s="2"/>
      <c r="Q586" s="2"/>
      <c r="R586" s="2"/>
      <c r="S586" s="2"/>
      <c r="T586" s="2"/>
      <c r="U586" s="2"/>
      <c r="V586" s="2"/>
      <c r="W586" s="2"/>
      <c r="X586" s="2"/>
      <c r="Y586" s="2"/>
      <c r="Z586" s="1"/>
      <c r="AA586" s="1"/>
      <c r="AB586" s="1"/>
      <c r="AC586" s="1"/>
      <c r="AD586" s="1"/>
      <c r="AE586" s="1"/>
      <c r="AF586" s="1"/>
      <c r="AG586" s="1"/>
      <c r="AH586" s="1"/>
      <c r="AI586" s="1"/>
      <c r="AJ586" s="1"/>
      <c r="AK586" s="1"/>
    </row>
    <row r="587" ht="30.0" customHeight="1">
      <c r="A587" s="1"/>
      <c r="B587" s="1"/>
      <c r="C587" s="2"/>
      <c r="D587" s="2"/>
      <c r="E587" s="2"/>
      <c r="F587" s="2"/>
      <c r="G587" s="2"/>
      <c r="H587" s="2"/>
      <c r="I587" s="2"/>
      <c r="J587" s="2"/>
      <c r="K587" s="2"/>
      <c r="L587" s="2"/>
      <c r="M587" s="2"/>
      <c r="N587" s="1"/>
      <c r="O587" s="2"/>
      <c r="P587" s="2"/>
      <c r="Q587" s="2"/>
      <c r="R587" s="2"/>
      <c r="S587" s="2"/>
      <c r="T587" s="2"/>
      <c r="U587" s="2"/>
      <c r="V587" s="2"/>
      <c r="W587" s="2"/>
      <c r="X587" s="2"/>
      <c r="Y587" s="2"/>
      <c r="Z587" s="1"/>
      <c r="AA587" s="1"/>
      <c r="AB587" s="1"/>
      <c r="AC587" s="1"/>
      <c r="AD587" s="1"/>
      <c r="AE587" s="1"/>
      <c r="AF587" s="1"/>
      <c r="AG587" s="1"/>
      <c r="AH587" s="1"/>
      <c r="AI587" s="1"/>
      <c r="AJ587" s="1"/>
      <c r="AK587" s="1"/>
    </row>
    <row r="588" ht="30.0" customHeight="1">
      <c r="A588" s="1"/>
      <c r="B588" s="1"/>
      <c r="C588" s="2"/>
      <c r="D588" s="2"/>
      <c r="E588" s="2"/>
      <c r="F588" s="2"/>
      <c r="G588" s="2"/>
      <c r="H588" s="2"/>
      <c r="I588" s="2"/>
      <c r="J588" s="2"/>
      <c r="K588" s="2"/>
      <c r="L588" s="2"/>
      <c r="M588" s="2"/>
      <c r="N588" s="1"/>
      <c r="O588" s="2"/>
      <c r="P588" s="2"/>
      <c r="Q588" s="2"/>
      <c r="R588" s="2"/>
      <c r="S588" s="2"/>
      <c r="T588" s="2"/>
      <c r="U588" s="2"/>
      <c r="V588" s="2"/>
      <c r="W588" s="2"/>
      <c r="X588" s="2"/>
      <c r="Y588" s="2"/>
      <c r="Z588" s="1"/>
      <c r="AA588" s="1"/>
      <c r="AB588" s="1"/>
      <c r="AC588" s="1"/>
      <c r="AD588" s="1"/>
      <c r="AE588" s="1"/>
      <c r="AF588" s="1"/>
      <c r="AG588" s="1"/>
      <c r="AH588" s="1"/>
      <c r="AI588" s="1"/>
      <c r="AJ588" s="1"/>
      <c r="AK588" s="1"/>
    </row>
    <row r="589" ht="30.0" customHeight="1">
      <c r="A589" s="1"/>
      <c r="B589" s="1"/>
      <c r="C589" s="2"/>
      <c r="D589" s="2"/>
      <c r="E589" s="2"/>
      <c r="F589" s="2"/>
      <c r="G589" s="2"/>
      <c r="H589" s="2"/>
      <c r="I589" s="2"/>
      <c r="J589" s="2"/>
      <c r="K589" s="2"/>
      <c r="L589" s="2"/>
      <c r="M589" s="2"/>
      <c r="N589" s="1"/>
      <c r="O589" s="2"/>
      <c r="P589" s="2"/>
      <c r="Q589" s="2"/>
      <c r="R589" s="2"/>
      <c r="S589" s="2"/>
      <c r="T589" s="2"/>
      <c r="U589" s="2"/>
      <c r="V589" s="2"/>
      <c r="W589" s="2"/>
      <c r="X589" s="2"/>
      <c r="Y589" s="2"/>
      <c r="Z589" s="1"/>
      <c r="AA589" s="1"/>
      <c r="AB589" s="1"/>
      <c r="AC589" s="1"/>
      <c r="AD589" s="1"/>
      <c r="AE589" s="1"/>
      <c r="AF589" s="1"/>
      <c r="AG589" s="1"/>
      <c r="AH589" s="1"/>
      <c r="AI589" s="1"/>
      <c r="AJ589" s="1"/>
      <c r="AK589" s="1"/>
    </row>
    <row r="590" ht="30.0" customHeight="1">
      <c r="A590" s="1"/>
      <c r="B590" s="1"/>
      <c r="C590" s="2"/>
      <c r="D590" s="2"/>
      <c r="E590" s="2"/>
      <c r="F590" s="2"/>
      <c r="G590" s="2"/>
      <c r="H590" s="2"/>
      <c r="I590" s="2"/>
      <c r="J590" s="2"/>
      <c r="K590" s="2"/>
      <c r="L590" s="2"/>
      <c r="M590" s="2"/>
      <c r="N590" s="1"/>
      <c r="O590" s="2"/>
      <c r="P590" s="2"/>
      <c r="Q590" s="2"/>
      <c r="R590" s="2"/>
      <c r="S590" s="2"/>
      <c r="T590" s="2"/>
      <c r="U590" s="2"/>
      <c r="V590" s="2"/>
      <c r="W590" s="2"/>
      <c r="X590" s="2"/>
      <c r="Y590" s="2"/>
      <c r="Z590" s="1"/>
      <c r="AA590" s="1"/>
      <c r="AB590" s="1"/>
      <c r="AC590" s="1"/>
      <c r="AD590" s="1"/>
      <c r="AE590" s="1"/>
      <c r="AF590" s="1"/>
      <c r="AG590" s="1"/>
      <c r="AH590" s="1"/>
      <c r="AI590" s="1"/>
      <c r="AJ590" s="1"/>
      <c r="AK590" s="1"/>
    </row>
    <row r="591" ht="30.0" customHeight="1">
      <c r="A591" s="1"/>
      <c r="B591" s="1"/>
      <c r="C591" s="2"/>
      <c r="D591" s="2"/>
      <c r="E591" s="2"/>
      <c r="F591" s="2"/>
      <c r="G591" s="2"/>
      <c r="H591" s="2"/>
      <c r="I591" s="2"/>
      <c r="J591" s="2"/>
      <c r="K591" s="2"/>
      <c r="L591" s="2"/>
      <c r="M591" s="2"/>
      <c r="N591" s="1"/>
      <c r="O591" s="2"/>
      <c r="P591" s="2"/>
      <c r="Q591" s="2"/>
      <c r="R591" s="2"/>
      <c r="S591" s="2"/>
      <c r="T591" s="2"/>
      <c r="U591" s="2"/>
      <c r="V591" s="2"/>
      <c r="W591" s="2"/>
      <c r="X591" s="2"/>
      <c r="Y591" s="2"/>
      <c r="Z591" s="1"/>
      <c r="AA591" s="1"/>
      <c r="AB591" s="1"/>
      <c r="AC591" s="1"/>
      <c r="AD591" s="1"/>
      <c r="AE591" s="1"/>
      <c r="AF591" s="1"/>
      <c r="AG591" s="1"/>
      <c r="AH591" s="1"/>
      <c r="AI591" s="1"/>
      <c r="AJ591" s="1"/>
      <c r="AK591" s="1"/>
    </row>
    <row r="592" ht="30.0" customHeight="1">
      <c r="A592" s="1"/>
      <c r="B592" s="1"/>
      <c r="C592" s="2"/>
      <c r="D592" s="2"/>
      <c r="E592" s="2"/>
      <c r="F592" s="2"/>
      <c r="G592" s="2"/>
      <c r="H592" s="2"/>
      <c r="I592" s="2"/>
      <c r="J592" s="2"/>
      <c r="K592" s="2"/>
      <c r="L592" s="2"/>
      <c r="M592" s="2"/>
      <c r="N592" s="1"/>
      <c r="O592" s="2"/>
      <c r="P592" s="2"/>
      <c r="Q592" s="2"/>
      <c r="R592" s="2"/>
      <c r="S592" s="2"/>
      <c r="T592" s="2"/>
      <c r="U592" s="2"/>
      <c r="V592" s="2"/>
      <c r="W592" s="2"/>
      <c r="X592" s="2"/>
      <c r="Y592" s="2"/>
      <c r="Z592" s="1"/>
      <c r="AA592" s="1"/>
      <c r="AB592" s="1"/>
      <c r="AC592" s="1"/>
      <c r="AD592" s="1"/>
      <c r="AE592" s="1"/>
      <c r="AF592" s="1"/>
      <c r="AG592" s="1"/>
      <c r="AH592" s="1"/>
      <c r="AI592" s="1"/>
      <c r="AJ592" s="1"/>
      <c r="AK592" s="1"/>
    </row>
    <row r="593" ht="30.0" customHeight="1">
      <c r="A593" s="1"/>
      <c r="B593" s="1"/>
      <c r="C593" s="2"/>
      <c r="D593" s="2"/>
      <c r="E593" s="2"/>
      <c r="F593" s="2"/>
      <c r="G593" s="2"/>
      <c r="H593" s="2"/>
      <c r="I593" s="2"/>
      <c r="J593" s="2"/>
      <c r="K593" s="2"/>
      <c r="L593" s="2"/>
      <c r="M593" s="2"/>
      <c r="N593" s="1"/>
      <c r="O593" s="2"/>
      <c r="P593" s="2"/>
      <c r="Q593" s="2"/>
      <c r="R593" s="2"/>
      <c r="S593" s="2"/>
      <c r="T593" s="2"/>
      <c r="U593" s="2"/>
      <c r="V593" s="2"/>
      <c r="W593" s="2"/>
      <c r="X593" s="2"/>
      <c r="Y593" s="2"/>
      <c r="Z593" s="1"/>
      <c r="AA593" s="1"/>
      <c r="AB593" s="1"/>
      <c r="AC593" s="1"/>
      <c r="AD593" s="1"/>
      <c r="AE593" s="1"/>
      <c r="AF593" s="1"/>
      <c r="AG593" s="1"/>
      <c r="AH593" s="1"/>
      <c r="AI593" s="1"/>
      <c r="AJ593" s="1"/>
      <c r="AK593" s="1"/>
    </row>
    <row r="594" ht="30.0" customHeight="1">
      <c r="A594" s="1"/>
      <c r="B594" s="1"/>
      <c r="C594" s="2"/>
      <c r="D594" s="2"/>
      <c r="E594" s="2"/>
      <c r="F594" s="2"/>
      <c r="G594" s="2"/>
      <c r="H594" s="2"/>
      <c r="I594" s="2"/>
      <c r="J594" s="2"/>
      <c r="K594" s="2"/>
      <c r="L594" s="2"/>
      <c r="M594" s="2"/>
      <c r="N594" s="1"/>
      <c r="O594" s="2"/>
      <c r="P594" s="2"/>
      <c r="Q594" s="2"/>
      <c r="R594" s="2"/>
      <c r="S594" s="2"/>
      <c r="T594" s="2"/>
      <c r="U594" s="2"/>
      <c r="V594" s="2"/>
      <c r="W594" s="2"/>
      <c r="X594" s="2"/>
      <c r="Y594" s="2"/>
      <c r="Z594" s="1"/>
      <c r="AA594" s="1"/>
      <c r="AB594" s="1"/>
      <c r="AC594" s="1"/>
      <c r="AD594" s="1"/>
      <c r="AE594" s="1"/>
      <c r="AF594" s="1"/>
      <c r="AG594" s="1"/>
      <c r="AH594" s="1"/>
      <c r="AI594" s="1"/>
      <c r="AJ594" s="1"/>
      <c r="AK594" s="1"/>
    </row>
    <row r="595" ht="30.0" customHeight="1">
      <c r="A595" s="1"/>
      <c r="B595" s="1"/>
      <c r="C595" s="2"/>
      <c r="D595" s="2"/>
      <c r="E595" s="2"/>
      <c r="F595" s="2"/>
      <c r="G595" s="2"/>
      <c r="H595" s="2"/>
      <c r="I595" s="2"/>
      <c r="J595" s="2"/>
      <c r="K595" s="2"/>
      <c r="L595" s="2"/>
      <c r="M595" s="2"/>
      <c r="N595" s="1"/>
      <c r="O595" s="2"/>
      <c r="P595" s="2"/>
      <c r="Q595" s="2"/>
      <c r="R595" s="2"/>
      <c r="S595" s="2"/>
      <c r="T595" s="2"/>
      <c r="U595" s="2"/>
      <c r="V595" s="2"/>
      <c r="W595" s="2"/>
      <c r="X595" s="2"/>
      <c r="Y595" s="2"/>
      <c r="Z595" s="1"/>
      <c r="AA595" s="1"/>
      <c r="AB595" s="1"/>
      <c r="AC595" s="1"/>
      <c r="AD595" s="1"/>
      <c r="AE595" s="1"/>
      <c r="AF595" s="1"/>
      <c r="AG595" s="1"/>
      <c r="AH595" s="1"/>
      <c r="AI595" s="1"/>
      <c r="AJ595" s="1"/>
      <c r="AK595" s="1"/>
    </row>
    <row r="596" ht="30.0" customHeight="1">
      <c r="A596" s="1"/>
      <c r="B596" s="1"/>
      <c r="C596" s="2"/>
      <c r="D596" s="2"/>
      <c r="E596" s="2"/>
      <c r="F596" s="2"/>
      <c r="G596" s="2"/>
      <c r="H596" s="2"/>
      <c r="I596" s="2"/>
      <c r="J596" s="2"/>
      <c r="K596" s="2"/>
      <c r="L596" s="2"/>
      <c r="M596" s="2"/>
      <c r="N596" s="1"/>
      <c r="O596" s="2"/>
      <c r="P596" s="2"/>
      <c r="Q596" s="2"/>
      <c r="R596" s="2"/>
      <c r="S596" s="2"/>
      <c r="T596" s="2"/>
      <c r="U596" s="2"/>
      <c r="V596" s="2"/>
      <c r="W596" s="2"/>
      <c r="X596" s="2"/>
      <c r="Y596" s="2"/>
      <c r="Z596" s="1"/>
      <c r="AA596" s="1"/>
      <c r="AB596" s="1"/>
      <c r="AC596" s="1"/>
      <c r="AD596" s="1"/>
      <c r="AE596" s="1"/>
      <c r="AF596" s="1"/>
      <c r="AG596" s="1"/>
      <c r="AH596" s="1"/>
      <c r="AI596" s="1"/>
      <c r="AJ596" s="1"/>
      <c r="AK596" s="1"/>
    </row>
    <row r="597" ht="30.0" customHeight="1">
      <c r="A597" s="1"/>
      <c r="B597" s="1"/>
      <c r="C597" s="2"/>
      <c r="D597" s="2"/>
      <c r="E597" s="2"/>
      <c r="F597" s="2"/>
      <c r="G597" s="2"/>
      <c r="H597" s="2"/>
      <c r="I597" s="2"/>
      <c r="J597" s="2"/>
      <c r="K597" s="2"/>
      <c r="L597" s="2"/>
      <c r="M597" s="2"/>
      <c r="N597" s="1"/>
      <c r="O597" s="2"/>
      <c r="P597" s="2"/>
      <c r="Q597" s="2"/>
      <c r="R597" s="2"/>
      <c r="S597" s="2"/>
      <c r="T597" s="2"/>
      <c r="U597" s="2"/>
      <c r="V597" s="2"/>
      <c r="W597" s="2"/>
      <c r="X597" s="2"/>
      <c r="Y597" s="2"/>
      <c r="Z597" s="1"/>
      <c r="AA597" s="1"/>
      <c r="AB597" s="1"/>
      <c r="AC597" s="1"/>
      <c r="AD597" s="1"/>
      <c r="AE597" s="1"/>
      <c r="AF597" s="1"/>
      <c r="AG597" s="1"/>
      <c r="AH597" s="1"/>
      <c r="AI597" s="1"/>
      <c r="AJ597" s="1"/>
      <c r="AK597" s="1"/>
    </row>
    <row r="598" ht="30.0" customHeight="1">
      <c r="A598" s="1"/>
      <c r="B598" s="1"/>
      <c r="C598" s="2"/>
      <c r="D598" s="2"/>
      <c r="E598" s="2"/>
      <c r="F598" s="2"/>
      <c r="G598" s="2"/>
      <c r="H598" s="2"/>
      <c r="I598" s="2"/>
      <c r="J598" s="2"/>
      <c r="K598" s="2"/>
      <c r="L598" s="2"/>
      <c r="M598" s="2"/>
      <c r="N598" s="1"/>
      <c r="O598" s="2"/>
      <c r="P598" s="2"/>
      <c r="Q598" s="2"/>
      <c r="R598" s="2"/>
      <c r="S598" s="2"/>
      <c r="T598" s="2"/>
      <c r="U598" s="2"/>
      <c r="V598" s="2"/>
      <c r="W598" s="2"/>
      <c r="X598" s="2"/>
      <c r="Y598" s="2"/>
      <c r="Z598" s="1"/>
      <c r="AA598" s="1"/>
      <c r="AB598" s="1"/>
      <c r="AC598" s="1"/>
      <c r="AD598" s="1"/>
      <c r="AE598" s="1"/>
      <c r="AF598" s="1"/>
      <c r="AG598" s="1"/>
      <c r="AH598" s="1"/>
      <c r="AI598" s="1"/>
      <c r="AJ598" s="1"/>
      <c r="AK598" s="1"/>
    </row>
    <row r="599" ht="30.0" customHeight="1">
      <c r="A599" s="1"/>
      <c r="B599" s="1"/>
      <c r="C599" s="2"/>
      <c r="D599" s="2"/>
      <c r="E599" s="2"/>
      <c r="F599" s="2"/>
      <c r="G599" s="2"/>
      <c r="H599" s="2"/>
      <c r="I599" s="2"/>
      <c r="J599" s="2"/>
      <c r="K599" s="2"/>
      <c r="L599" s="2"/>
      <c r="M599" s="2"/>
      <c r="N599" s="1"/>
      <c r="O599" s="2"/>
      <c r="P599" s="2"/>
      <c r="Q599" s="2"/>
      <c r="R599" s="2"/>
      <c r="S599" s="2"/>
      <c r="T599" s="2"/>
      <c r="U599" s="2"/>
      <c r="V599" s="2"/>
      <c r="W599" s="2"/>
      <c r="X599" s="2"/>
      <c r="Y599" s="2"/>
      <c r="Z599" s="1"/>
      <c r="AA599" s="1"/>
      <c r="AB599" s="1"/>
      <c r="AC599" s="1"/>
      <c r="AD599" s="1"/>
      <c r="AE599" s="1"/>
      <c r="AF599" s="1"/>
      <c r="AG599" s="1"/>
      <c r="AH599" s="1"/>
      <c r="AI599" s="1"/>
      <c r="AJ599" s="1"/>
      <c r="AK599" s="1"/>
    </row>
    <row r="600" ht="30.0" customHeight="1">
      <c r="A600" s="1"/>
      <c r="B600" s="1"/>
      <c r="C600" s="2"/>
      <c r="D600" s="2"/>
      <c r="E600" s="2"/>
      <c r="F600" s="2"/>
      <c r="G600" s="2"/>
      <c r="H600" s="2"/>
      <c r="I600" s="2"/>
      <c r="J600" s="2"/>
      <c r="K600" s="2"/>
      <c r="L600" s="2"/>
      <c r="M600" s="2"/>
      <c r="N600" s="1"/>
      <c r="O600" s="2"/>
      <c r="P600" s="2"/>
      <c r="Q600" s="2"/>
      <c r="R600" s="2"/>
      <c r="S600" s="2"/>
      <c r="T600" s="2"/>
      <c r="U600" s="2"/>
      <c r="V600" s="2"/>
      <c r="W600" s="2"/>
      <c r="X600" s="2"/>
      <c r="Y600" s="2"/>
      <c r="Z600" s="1"/>
      <c r="AA600" s="1"/>
      <c r="AB600" s="1"/>
      <c r="AC600" s="1"/>
      <c r="AD600" s="1"/>
      <c r="AE600" s="1"/>
      <c r="AF600" s="1"/>
      <c r="AG600" s="1"/>
      <c r="AH600" s="1"/>
      <c r="AI600" s="1"/>
      <c r="AJ600" s="1"/>
      <c r="AK600" s="1"/>
    </row>
    <row r="601" ht="30.0" customHeight="1">
      <c r="A601" s="1"/>
      <c r="B601" s="1"/>
      <c r="C601" s="2"/>
      <c r="D601" s="2"/>
      <c r="E601" s="2"/>
      <c r="F601" s="2"/>
      <c r="G601" s="2"/>
      <c r="H601" s="2"/>
      <c r="I601" s="2"/>
      <c r="J601" s="2"/>
      <c r="K601" s="2"/>
      <c r="L601" s="2"/>
      <c r="M601" s="2"/>
      <c r="N601" s="1"/>
      <c r="O601" s="2"/>
      <c r="P601" s="2"/>
      <c r="Q601" s="2"/>
      <c r="R601" s="2"/>
      <c r="S601" s="2"/>
      <c r="T601" s="2"/>
      <c r="U601" s="2"/>
      <c r="V601" s="2"/>
      <c r="W601" s="2"/>
      <c r="X601" s="2"/>
      <c r="Y601" s="2"/>
      <c r="Z601" s="1"/>
      <c r="AA601" s="1"/>
      <c r="AB601" s="1"/>
      <c r="AC601" s="1"/>
      <c r="AD601" s="1"/>
      <c r="AE601" s="1"/>
      <c r="AF601" s="1"/>
      <c r="AG601" s="1"/>
      <c r="AH601" s="1"/>
      <c r="AI601" s="1"/>
      <c r="AJ601" s="1"/>
      <c r="AK601" s="1"/>
    </row>
    <row r="602" ht="30.0" customHeight="1">
      <c r="A602" s="1"/>
      <c r="B602" s="1"/>
      <c r="C602" s="2"/>
      <c r="D602" s="2"/>
      <c r="E602" s="2"/>
      <c r="F602" s="2"/>
      <c r="G602" s="2"/>
      <c r="H602" s="2"/>
      <c r="I602" s="2"/>
      <c r="J602" s="2"/>
      <c r="K602" s="2"/>
      <c r="L602" s="2"/>
      <c r="M602" s="2"/>
      <c r="N602" s="1"/>
      <c r="O602" s="2"/>
      <c r="P602" s="2"/>
      <c r="Q602" s="2"/>
      <c r="R602" s="2"/>
      <c r="S602" s="2"/>
      <c r="T602" s="2"/>
      <c r="U602" s="2"/>
      <c r="V602" s="2"/>
      <c r="W602" s="2"/>
      <c r="X602" s="2"/>
      <c r="Y602" s="2"/>
      <c r="Z602" s="1"/>
      <c r="AA602" s="1"/>
      <c r="AB602" s="1"/>
      <c r="AC602" s="1"/>
      <c r="AD602" s="1"/>
      <c r="AE602" s="1"/>
      <c r="AF602" s="1"/>
      <c r="AG602" s="1"/>
      <c r="AH602" s="1"/>
      <c r="AI602" s="1"/>
      <c r="AJ602" s="1"/>
      <c r="AK602" s="1"/>
    </row>
    <row r="603" ht="30.0" customHeight="1">
      <c r="A603" s="1"/>
      <c r="B603" s="1"/>
      <c r="C603" s="2"/>
      <c r="D603" s="2"/>
      <c r="E603" s="2"/>
      <c r="F603" s="2"/>
      <c r="G603" s="2"/>
      <c r="H603" s="2"/>
      <c r="I603" s="2"/>
      <c r="J603" s="2"/>
      <c r="K603" s="2"/>
      <c r="L603" s="2"/>
      <c r="M603" s="2"/>
      <c r="N603" s="1"/>
      <c r="O603" s="2"/>
      <c r="P603" s="2"/>
      <c r="Q603" s="2"/>
      <c r="R603" s="2"/>
      <c r="S603" s="2"/>
      <c r="T603" s="2"/>
      <c r="U603" s="2"/>
      <c r="V603" s="2"/>
      <c r="W603" s="2"/>
      <c r="X603" s="2"/>
      <c r="Y603" s="2"/>
      <c r="Z603" s="1"/>
      <c r="AA603" s="1"/>
      <c r="AB603" s="1"/>
      <c r="AC603" s="1"/>
      <c r="AD603" s="1"/>
      <c r="AE603" s="1"/>
      <c r="AF603" s="1"/>
      <c r="AG603" s="1"/>
      <c r="AH603" s="1"/>
      <c r="AI603" s="1"/>
      <c r="AJ603" s="1"/>
      <c r="AK603" s="1"/>
    </row>
    <row r="604" ht="30.0" customHeight="1">
      <c r="A604" s="1"/>
      <c r="B604" s="1"/>
      <c r="C604" s="2"/>
      <c r="D604" s="2"/>
      <c r="E604" s="2"/>
      <c r="F604" s="2"/>
      <c r="G604" s="2"/>
      <c r="H604" s="2"/>
      <c r="I604" s="2"/>
      <c r="J604" s="2"/>
      <c r="K604" s="2"/>
      <c r="L604" s="2"/>
      <c r="M604" s="2"/>
      <c r="N604" s="1"/>
      <c r="O604" s="2"/>
      <c r="P604" s="2"/>
      <c r="Q604" s="2"/>
      <c r="R604" s="2"/>
      <c r="S604" s="2"/>
      <c r="T604" s="2"/>
      <c r="U604" s="2"/>
      <c r="V604" s="2"/>
      <c r="W604" s="2"/>
      <c r="X604" s="2"/>
      <c r="Y604" s="2"/>
      <c r="Z604" s="1"/>
      <c r="AA604" s="1"/>
      <c r="AB604" s="1"/>
      <c r="AC604" s="1"/>
      <c r="AD604" s="1"/>
      <c r="AE604" s="1"/>
      <c r="AF604" s="1"/>
      <c r="AG604" s="1"/>
      <c r="AH604" s="1"/>
      <c r="AI604" s="1"/>
      <c r="AJ604" s="1"/>
      <c r="AK604" s="1"/>
    </row>
    <row r="605" ht="30.0" customHeight="1">
      <c r="A605" s="1"/>
      <c r="B605" s="1"/>
      <c r="C605" s="2"/>
      <c r="D605" s="2"/>
      <c r="E605" s="2"/>
      <c r="F605" s="2"/>
      <c r="G605" s="2"/>
      <c r="H605" s="2"/>
      <c r="I605" s="2"/>
      <c r="J605" s="2"/>
      <c r="K605" s="2"/>
      <c r="L605" s="2"/>
      <c r="M605" s="2"/>
      <c r="N605" s="1"/>
      <c r="O605" s="2"/>
      <c r="P605" s="2"/>
      <c r="Q605" s="2"/>
      <c r="R605" s="2"/>
      <c r="S605" s="2"/>
      <c r="T605" s="2"/>
      <c r="U605" s="2"/>
      <c r="V605" s="2"/>
      <c r="W605" s="2"/>
      <c r="X605" s="2"/>
      <c r="Y605" s="2"/>
      <c r="Z605" s="1"/>
      <c r="AA605" s="1"/>
      <c r="AB605" s="1"/>
      <c r="AC605" s="1"/>
      <c r="AD605" s="1"/>
      <c r="AE605" s="1"/>
      <c r="AF605" s="1"/>
      <c r="AG605" s="1"/>
      <c r="AH605" s="1"/>
      <c r="AI605" s="1"/>
      <c r="AJ605" s="1"/>
      <c r="AK605" s="1"/>
    </row>
    <row r="606" ht="30.0" customHeight="1">
      <c r="A606" s="1"/>
      <c r="B606" s="1"/>
      <c r="C606" s="2"/>
      <c r="D606" s="2"/>
      <c r="E606" s="2"/>
      <c r="F606" s="2"/>
      <c r="G606" s="2"/>
      <c r="H606" s="2"/>
      <c r="I606" s="2"/>
      <c r="J606" s="2"/>
      <c r="K606" s="2"/>
      <c r="L606" s="2"/>
      <c r="M606" s="2"/>
      <c r="N606" s="1"/>
      <c r="O606" s="2"/>
      <c r="P606" s="2"/>
      <c r="Q606" s="2"/>
      <c r="R606" s="2"/>
      <c r="S606" s="2"/>
      <c r="T606" s="2"/>
      <c r="U606" s="2"/>
      <c r="V606" s="2"/>
      <c r="W606" s="2"/>
      <c r="X606" s="2"/>
      <c r="Y606" s="2"/>
      <c r="Z606" s="1"/>
      <c r="AA606" s="1"/>
      <c r="AB606" s="1"/>
      <c r="AC606" s="1"/>
      <c r="AD606" s="1"/>
      <c r="AE606" s="1"/>
      <c r="AF606" s="1"/>
      <c r="AG606" s="1"/>
      <c r="AH606" s="1"/>
      <c r="AI606" s="1"/>
      <c r="AJ606" s="1"/>
      <c r="AK606" s="1"/>
    </row>
    <row r="607" ht="30.0" customHeight="1">
      <c r="A607" s="1"/>
      <c r="B607" s="1"/>
      <c r="C607" s="2"/>
      <c r="D607" s="2"/>
      <c r="E607" s="2"/>
      <c r="F607" s="2"/>
      <c r="G607" s="2"/>
      <c r="H607" s="2"/>
      <c r="I607" s="2"/>
      <c r="J607" s="2"/>
      <c r="K607" s="2"/>
      <c r="L607" s="2"/>
      <c r="M607" s="2"/>
      <c r="N607" s="1"/>
      <c r="O607" s="2"/>
      <c r="P607" s="2"/>
      <c r="Q607" s="2"/>
      <c r="R607" s="2"/>
      <c r="S607" s="2"/>
      <c r="T607" s="2"/>
      <c r="U607" s="2"/>
      <c r="V607" s="2"/>
      <c r="W607" s="2"/>
      <c r="X607" s="2"/>
      <c r="Y607" s="2"/>
      <c r="Z607" s="1"/>
      <c r="AA607" s="1"/>
      <c r="AB607" s="1"/>
      <c r="AC607" s="1"/>
      <c r="AD607" s="1"/>
      <c r="AE607" s="1"/>
      <c r="AF607" s="1"/>
      <c r="AG607" s="1"/>
      <c r="AH607" s="1"/>
      <c r="AI607" s="1"/>
      <c r="AJ607" s="1"/>
      <c r="AK607" s="1"/>
    </row>
    <row r="608" ht="30.0" customHeight="1">
      <c r="A608" s="1"/>
      <c r="B608" s="1"/>
      <c r="C608" s="2"/>
      <c r="D608" s="2"/>
      <c r="E608" s="2"/>
      <c r="F608" s="2"/>
      <c r="G608" s="2"/>
      <c r="H608" s="2"/>
      <c r="I608" s="2"/>
      <c r="J608" s="2"/>
      <c r="K608" s="2"/>
      <c r="L608" s="2"/>
      <c r="M608" s="2"/>
      <c r="N608" s="1"/>
      <c r="O608" s="2"/>
      <c r="P608" s="2"/>
      <c r="Q608" s="2"/>
      <c r="R608" s="2"/>
      <c r="S608" s="2"/>
      <c r="T608" s="2"/>
      <c r="U608" s="2"/>
      <c r="V608" s="2"/>
      <c r="W608" s="2"/>
      <c r="X608" s="2"/>
      <c r="Y608" s="2"/>
      <c r="Z608" s="1"/>
      <c r="AA608" s="1"/>
      <c r="AB608" s="1"/>
      <c r="AC608" s="1"/>
      <c r="AD608" s="1"/>
      <c r="AE608" s="1"/>
      <c r="AF608" s="1"/>
      <c r="AG608" s="1"/>
      <c r="AH608" s="1"/>
      <c r="AI608" s="1"/>
      <c r="AJ608" s="1"/>
      <c r="AK608" s="1"/>
    </row>
    <row r="609" ht="30.0" customHeight="1">
      <c r="A609" s="1"/>
      <c r="B609" s="1"/>
      <c r="C609" s="2"/>
      <c r="D609" s="2"/>
      <c r="E609" s="2"/>
      <c r="F609" s="2"/>
      <c r="G609" s="2"/>
      <c r="H609" s="2"/>
      <c r="I609" s="2"/>
      <c r="J609" s="2"/>
      <c r="K609" s="2"/>
      <c r="L609" s="2"/>
      <c r="M609" s="2"/>
      <c r="N609" s="1"/>
      <c r="O609" s="2"/>
      <c r="P609" s="2"/>
      <c r="Q609" s="2"/>
      <c r="R609" s="2"/>
      <c r="S609" s="2"/>
      <c r="T609" s="2"/>
      <c r="U609" s="2"/>
      <c r="V609" s="2"/>
      <c r="W609" s="2"/>
      <c r="X609" s="2"/>
      <c r="Y609" s="2"/>
      <c r="Z609" s="1"/>
      <c r="AA609" s="1"/>
      <c r="AB609" s="1"/>
      <c r="AC609" s="1"/>
      <c r="AD609" s="1"/>
      <c r="AE609" s="1"/>
      <c r="AF609" s="1"/>
      <c r="AG609" s="1"/>
      <c r="AH609" s="1"/>
      <c r="AI609" s="1"/>
      <c r="AJ609" s="1"/>
      <c r="AK609" s="1"/>
    </row>
    <row r="610" ht="30.0" customHeight="1">
      <c r="A610" s="1"/>
      <c r="B610" s="1"/>
      <c r="C610" s="2"/>
      <c r="D610" s="2"/>
      <c r="E610" s="2"/>
      <c r="F610" s="2"/>
      <c r="G610" s="2"/>
      <c r="H610" s="2"/>
      <c r="I610" s="2"/>
      <c r="J610" s="2"/>
      <c r="K610" s="2"/>
      <c r="L610" s="2"/>
      <c r="M610" s="2"/>
      <c r="N610" s="1"/>
      <c r="O610" s="2"/>
      <c r="P610" s="2"/>
      <c r="Q610" s="2"/>
      <c r="R610" s="2"/>
      <c r="S610" s="2"/>
      <c r="T610" s="2"/>
      <c r="U610" s="2"/>
      <c r="V610" s="2"/>
      <c r="W610" s="2"/>
      <c r="X610" s="2"/>
      <c r="Y610" s="2"/>
      <c r="Z610" s="1"/>
      <c r="AA610" s="1"/>
      <c r="AB610" s="1"/>
      <c r="AC610" s="1"/>
      <c r="AD610" s="1"/>
      <c r="AE610" s="1"/>
      <c r="AF610" s="1"/>
      <c r="AG610" s="1"/>
      <c r="AH610" s="1"/>
      <c r="AI610" s="1"/>
      <c r="AJ610" s="1"/>
      <c r="AK610" s="1"/>
    </row>
    <row r="611" ht="30.0" customHeight="1">
      <c r="A611" s="1"/>
      <c r="B611" s="1"/>
      <c r="C611" s="2"/>
      <c r="D611" s="2"/>
      <c r="E611" s="2"/>
      <c r="F611" s="2"/>
      <c r="G611" s="2"/>
      <c r="H611" s="2"/>
      <c r="I611" s="2"/>
      <c r="J611" s="2"/>
      <c r="K611" s="2"/>
      <c r="L611" s="2"/>
      <c r="M611" s="2"/>
      <c r="N611" s="1"/>
      <c r="O611" s="2"/>
      <c r="P611" s="2"/>
      <c r="Q611" s="2"/>
      <c r="R611" s="2"/>
      <c r="S611" s="2"/>
      <c r="T611" s="2"/>
      <c r="U611" s="2"/>
      <c r="V611" s="2"/>
      <c r="W611" s="2"/>
      <c r="X611" s="2"/>
      <c r="Y611" s="2"/>
      <c r="Z611" s="1"/>
      <c r="AA611" s="1"/>
      <c r="AB611" s="1"/>
      <c r="AC611" s="1"/>
      <c r="AD611" s="1"/>
      <c r="AE611" s="1"/>
      <c r="AF611" s="1"/>
      <c r="AG611" s="1"/>
      <c r="AH611" s="1"/>
      <c r="AI611" s="1"/>
      <c r="AJ611" s="1"/>
      <c r="AK611" s="1"/>
    </row>
    <row r="612" ht="30.0" customHeight="1">
      <c r="A612" s="1"/>
      <c r="B612" s="1"/>
      <c r="C612" s="2"/>
      <c r="D612" s="2"/>
      <c r="E612" s="2"/>
      <c r="F612" s="2"/>
      <c r="G612" s="2"/>
      <c r="H612" s="2"/>
      <c r="I612" s="2"/>
      <c r="J612" s="2"/>
      <c r="K612" s="2"/>
      <c r="L612" s="2"/>
      <c r="M612" s="2"/>
      <c r="N612" s="1"/>
      <c r="O612" s="2"/>
      <c r="P612" s="2"/>
      <c r="Q612" s="2"/>
      <c r="R612" s="2"/>
      <c r="S612" s="2"/>
      <c r="T612" s="2"/>
      <c r="U612" s="2"/>
      <c r="V612" s="2"/>
      <c r="W612" s="2"/>
      <c r="X612" s="2"/>
      <c r="Y612" s="2"/>
      <c r="Z612" s="1"/>
      <c r="AA612" s="1"/>
      <c r="AB612" s="1"/>
      <c r="AC612" s="1"/>
      <c r="AD612" s="1"/>
      <c r="AE612" s="1"/>
      <c r="AF612" s="1"/>
      <c r="AG612" s="1"/>
      <c r="AH612" s="1"/>
      <c r="AI612" s="1"/>
      <c r="AJ612" s="1"/>
      <c r="AK612" s="1"/>
    </row>
    <row r="613" ht="30.0" customHeight="1">
      <c r="A613" s="1"/>
      <c r="B613" s="1"/>
      <c r="C613" s="2"/>
      <c r="D613" s="2"/>
      <c r="E613" s="2"/>
      <c r="F613" s="2"/>
      <c r="G613" s="2"/>
      <c r="H613" s="2"/>
      <c r="I613" s="2"/>
      <c r="J613" s="2"/>
      <c r="K613" s="2"/>
      <c r="L613" s="2"/>
      <c r="M613" s="2"/>
      <c r="N613" s="1"/>
      <c r="O613" s="2"/>
      <c r="P613" s="2"/>
      <c r="Q613" s="2"/>
      <c r="R613" s="2"/>
      <c r="S613" s="2"/>
      <c r="T613" s="2"/>
      <c r="U613" s="2"/>
      <c r="V613" s="2"/>
      <c r="W613" s="2"/>
      <c r="X613" s="2"/>
      <c r="Y613" s="2"/>
      <c r="Z613" s="1"/>
      <c r="AA613" s="1"/>
      <c r="AB613" s="1"/>
      <c r="AC613" s="1"/>
      <c r="AD613" s="1"/>
      <c r="AE613" s="1"/>
      <c r="AF613" s="1"/>
      <c r="AG613" s="1"/>
      <c r="AH613" s="1"/>
      <c r="AI613" s="1"/>
      <c r="AJ613" s="1"/>
      <c r="AK613" s="1"/>
    </row>
    <row r="614" ht="30.0" customHeight="1">
      <c r="A614" s="1"/>
      <c r="B614" s="1"/>
      <c r="C614" s="2"/>
      <c r="D614" s="2"/>
      <c r="E614" s="2"/>
      <c r="F614" s="2"/>
      <c r="G614" s="2"/>
      <c r="H614" s="2"/>
      <c r="I614" s="2"/>
      <c r="J614" s="2"/>
      <c r="K614" s="2"/>
      <c r="L614" s="2"/>
      <c r="M614" s="2"/>
      <c r="N614" s="1"/>
      <c r="O614" s="2"/>
      <c r="P614" s="2"/>
      <c r="Q614" s="2"/>
      <c r="R614" s="2"/>
      <c r="S614" s="2"/>
      <c r="T614" s="2"/>
      <c r="U614" s="2"/>
      <c r="V614" s="2"/>
      <c r="W614" s="2"/>
      <c r="X614" s="2"/>
      <c r="Y614" s="2"/>
      <c r="Z614" s="1"/>
      <c r="AA614" s="1"/>
      <c r="AB614" s="1"/>
      <c r="AC614" s="1"/>
      <c r="AD614" s="1"/>
      <c r="AE614" s="1"/>
      <c r="AF614" s="1"/>
      <c r="AG614" s="1"/>
      <c r="AH614" s="1"/>
      <c r="AI614" s="1"/>
      <c r="AJ614" s="1"/>
      <c r="AK614" s="1"/>
    </row>
    <row r="615" ht="30.0" customHeight="1">
      <c r="A615" s="1"/>
      <c r="B615" s="1"/>
      <c r="C615" s="2"/>
      <c r="D615" s="2"/>
      <c r="E615" s="2"/>
      <c r="F615" s="2"/>
      <c r="G615" s="2"/>
      <c r="H615" s="2"/>
      <c r="I615" s="2"/>
      <c r="J615" s="2"/>
      <c r="K615" s="2"/>
      <c r="L615" s="2"/>
      <c r="M615" s="2"/>
      <c r="N615" s="1"/>
      <c r="O615" s="2"/>
      <c r="P615" s="2"/>
      <c r="Q615" s="2"/>
      <c r="R615" s="2"/>
      <c r="S615" s="2"/>
      <c r="T615" s="2"/>
      <c r="U615" s="2"/>
      <c r="V615" s="2"/>
      <c r="W615" s="2"/>
      <c r="X615" s="2"/>
      <c r="Y615" s="2"/>
      <c r="Z615" s="1"/>
      <c r="AA615" s="1"/>
      <c r="AB615" s="1"/>
      <c r="AC615" s="1"/>
      <c r="AD615" s="1"/>
      <c r="AE615" s="1"/>
      <c r="AF615" s="1"/>
      <c r="AG615" s="1"/>
      <c r="AH615" s="1"/>
      <c r="AI615" s="1"/>
      <c r="AJ615" s="1"/>
      <c r="AK615" s="1"/>
    </row>
    <row r="616" ht="30.0" customHeight="1">
      <c r="A616" s="1"/>
      <c r="B616" s="1"/>
      <c r="C616" s="2"/>
      <c r="D616" s="2"/>
      <c r="E616" s="2"/>
      <c r="F616" s="2"/>
      <c r="G616" s="2"/>
      <c r="H616" s="2"/>
      <c r="I616" s="2"/>
      <c r="J616" s="2"/>
      <c r="K616" s="2"/>
      <c r="L616" s="2"/>
      <c r="M616" s="2"/>
      <c r="N616" s="1"/>
      <c r="O616" s="2"/>
      <c r="P616" s="2"/>
      <c r="Q616" s="2"/>
      <c r="R616" s="2"/>
      <c r="S616" s="2"/>
      <c r="T616" s="2"/>
      <c r="U616" s="2"/>
      <c r="V616" s="2"/>
      <c r="W616" s="2"/>
      <c r="X616" s="2"/>
      <c r="Y616" s="2"/>
      <c r="Z616" s="1"/>
      <c r="AA616" s="1"/>
      <c r="AB616" s="1"/>
      <c r="AC616" s="1"/>
      <c r="AD616" s="1"/>
      <c r="AE616" s="1"/>
      <c r="AF616" s="1"/>
      <c r="AG616" s="1"/>
      <c r="AH616" s="1"/>
      <c r="AI616" s="1"/>
      <c r="AJ616" s="1"/>
      <c r="AK616" s="1"/>
    </row>
    <row r="617" ht="30.0" customHeight="1">
      <c r="A617" s="1"/>
      <c r="B617" s="1"/>
      <c r="C617" s="2"/>
      <c r="D617" s="2"/>
      <c r="E617" s="2"/>
      <c r="F617" s="2"/>
      <c r="G617" s="2"/>
      <c r="H617" s="2"/>
      <c r="I617" s="2"/>
      <c r="J617" s="2"/>
      <c r="K617" s="2"/>
      <c r="L617" s="2"/>
      <c r="M617" s="2"/>
      <c r="N617" s="1"/>
      <c r="O617" s="2"/>
      <c r="P617" s="2"/>
      <c r="Q617" s="2"/>
      <c r="R617" s="2"/>
      <c r="S617" s="2"/>
      <c r="T617" s="2"/>
      <c r="U617" s="2"/>
      <c r="V617" s="2"/>
      <c r="W617" s="2"/>
      <c r="X617" s="2"/>
      <c r="Y617" s="2"/>
      <c r="Z617" s="1"/>
      <c r="AA617" s="1"/>
      <c r="AB617" s="1"/>
      <c r="AC617" s="1"/>
      <c r="AD617" s="1"/>
      <c r="AE617" s="1"/>
      <c r="AF617" s="1"/>
      <c r="AG617" s="1"/>
      <c r="AH617" s="1"/>
      <c r="AI617" s="1"/>
      <c r="AJ617" s="1"/>
      <c r="AK617" s="1"/>
    </row>
    <row r="618" ht="30.0" customHeight="1">
      <c r="A618" s="1"/>
      <c r="B618" s="1"/>
      <c r="C618" s="2"/>
      <c r="D618" s="2"/>
      <c r="E618" s="2"/>
      <c r="F618" s="2"/>
      <c r="G618" s="2"/>
      <c r="H618" s="2"/>
      <c r="I618" s="2"/>
      <c r="J618" s="2"/>
      <c r="K618" s="2"/>
      <c r="L618" s="2"/>
      <c r="M618" s="2"/>
      <c r="N618" s="1"/>
      <c r="O618" s="2"/>
      <c r="P618" s="2"/>
      <c r="Q618" s="2"/>
      <c r="R618" s="2"/>
      <c r="S618" s="2"/>
      <c r="T618" s="2"/>
      <c r="U618" s="2"/>
      <c r="V618" s="2"/>
      <c r="W618" s="2"/>
      <c r="X618" s="2"/>
      <c r="Y618" s="2"/>
      <c r="Z618" s="1"/>
      <c r="AA618" s="1"/>
      <c r="AB618" s="1"/>
      <c r="AC618" s="1"/>
      <c r="AD618" s="1"/>
      <c r="AE618" s="1"/>
      <c r="AF618" s="1"/>
      <c r="AG618" s="1"/>
      <c r="AH618" s="1"/>
      <c r="AI618" s="1"/>
      <c r="AJ618" s="1"/>
      <c r="AK618" s="1"/>
    </row>
    <row r="619" ht="30.0" customHeight="1">
      <c r="A619" s="1"/>
      <c r="B619" s="1"/>
      <c r="C619" s="2"/>
      <c r="D619" s="2"/>
      <c r="E619" s="2"/>
      <c r="F619" s="2"/>
      <c r="G619" s="2"/>
      <c r="H619" s="2"/>
      <c r="I619" s="2"/>
      <c r="J619" s="2"/>
      <c r="K619" s="2"/>
      <c r="L619" s="2"/>
      <c r="M619" s="2"/>
      <c r="N619" s="1"/>
      <c r="O619" s="2"/>
      <c r="P619" s="2"/>
      <c r="Q619" s="2"/>
      <c r="R619" s="2"/>
      <c r="S619" s="2"/>
      <c r="T619" s="2"/>
      <c r="U619" s="2"/>
      <c r="V619" s="2"/>
      <c r="W619" s="2"/>
      <c r="X619" s="2"/>
      <c r="Y619" s="2"/>
      <c r="Z619" s="1"/>
      <c r="AA619" s="1"/>
      <c r="AB619" s="1"/>
      <c r="AC619" s="1"/>
      <c r="AD619" s="1"/>
      <c r="AE619" s="1"/>
      <c r="AF619" s="1"/>
      <c r="AG619" s="1"/>
      <c r="AH619" s="1"/>
      <c r="AI619" s="1"/>
      <c r="AJ619" s="1"/>
      <c r="AK619" s="1"/>
    </row>
    <row r="620" ht="30.0" customHeight="1">
      <c r="A620" s="1"/>
      <c r="B620" s="1"/>
      <c r="C620" s="2"/>
      <c r="D620" s="2"/>
      <c r="E620" s="2"/>
      <c r="F620" s="2"/>
      <c r="G620" s="2"/>
      <c r="H620" s="2"/>
      <c r="I620" s="2"/>
      <c r="J620" s="2"/>
      <c r="K620" s="2"/>
      <c r="L620" s="2"/>
      <c r="M620" s="2"/>
      <c r="N620" s="1"/>
      <c r="O620" s="2"/>
      <c r="P620" s="2"/>
      <c r="Q620" s="2"/>
      <c r="R620" s="2"/>
      <c r="S620" s="2"/>
      <c r="T620" s="2"/>
      <c r="U620" s="2"/>
      <c r="V620" s="2"/>
      <c r="W620" s="2"/>
      <c r="X620" s="2"/>
      <c r="Y620" s="2"/>
      <c r="Z620" s="1"/>
      <c r="AA620" s="1"/>
      <c r="AB620" s="1"/>
      <c r="AC620" s="1"/>
      <c r="AD620" s="1"/>
      <c r="AE620" s="1"/>
      <c r="AF620" s="1"/>
      <c r="AG620" s="1"/>
      <c r="AH620" s="1"/>
      <c r="AI620" s="1"/>
      <c r="AJ620" s="1"/>
      <c r="AK620" s="1"/>
    </row>
    <row r="621" ht="30.0" customHeight="1">
      <c r="A621" s="1"/>
      <c r="B621" s="1"/>
      <c r="C621" s="2"/>
      <c r="D621" s="2"/>
      <c r="E621" s="2"/>
      <c r="F621" s="2"/>
      <c r="G621" s="2"/>
      <c r="H621" s="2"/>
      <c r="I621" s="2"/>
      <c r="J621" s="2"/>
      <c r="K621" s="2"/>
      <c r="L621" s="2"/>
      <c r="M621" s="2"/>
      <c r="N621" s="1"/>
      <c r="O621" s="2"/>
      <c r="P621" s="2"/>
      <c r="Q621" s="2"/>
      <c r="R621" s="2"/>
      <c r="S621" s="2"/>
      <c r="T621" s="2"/>
      <c r="U621" s="2"/>
      <c r="V621" s="2"/>
      <c r="W621" s="2"/>
      <c r="X621" s="2"/>
      <c r="Y621" s="2"/>
      <c r="Z621" s="1"/>
      <c r="AA621" s="1"/>
      <c r="AB621" s="1"/>
      <c r="AC621" s="1"/>
      <c r="AD621" s="1"/>
      <c r="AE621" s="1"/>
      <c r="AF621" s="1"/>
      <c r="AG621" s="1"/>
      <c r="AH621" s="1"/>
      <c r="AI621" s="1"/>
      <c r="AJ621" s="1"/>
      <c r="AK621" s="1"/>
    </row>
    <row r="622" ht="30.0" customHeight="1">
      <c r="A622" s="1"/>
      <c r="B622" s="1"/>
      <c r="C622" s="2"/>
      <c r="D622" s="2"/>
      <c r="E622" s="2"/>
      <c r="F622" s="2"/>
      <c r="G622" s="2"/>
      <c r="H622" s="2"/>
      <c r="I622" s="2"/>
      <c r="J622" s="2"/>
      <c r="K622" s="2"/>
      <c r="L622" s="2"/>
      <c r="M622" s="2"/>
      <c r="N622" s="1"/>
      <c r="O622" s="2"/>
      <c r="P622" s="2"/>
      <c r="Q622" s="2"/>
      <c r="R622" s="2"/>
      <c r="S622" s="2"/>
      <c r="T622" s="2"/>
      <c r="U622" s="2"/>
      <c r="V622" s="2"/>
      <c r="W622" s="2"/>
      <c r="X622" s="2"/>
      <c r="Y622" s="2"/>
      <c r="Z622" s="1"/>
      <c r="AA622" s="1"/>
      <c r="AB622" s="1"/>
      <c r="AC622" s="1"/>
      <c r="AD622" s="1"/>
      <c r="AE622" s="1"/>
      <c r="AF622" s="1"/>
      <c r="AG622" s="1"/>
      <c r="AH622" s="1"/>
      <c r="AI622" s="1"/>
      <c r="AJ622" s="1"/>
      <c r="AK622" s="1"/>
    </row>
    <row r="623" ht="30.0" customHeight="1">
      <c r="A623" s="1"/>
      <c r="B623" s="1"/>
      <c r="C623" s="2"/>
      <c r="D623" s="2"/>
      <c r="E623" s="2"/>
      <c r="F623" s="2"/>
      <c r="G623" s="2"/>
      <c r="H623" s="2"/>
      <c r="I623" s="2"/>
      <c r="J623" s="2"/>
      <c r="K623" s="2"/>
      <c r="L623" s="2"/>
      <c r="M623" s="2"/>
      <c r="N623" s="1"/>
      <c r="O623" s="2"/>
      <c r="P623" s="2"/>
      <c r="Q623" s="2"/>
      <c r="R623" s="2"/>
      <c r="S623" s="2"/>
      <c r="T623" s="2"/>
      <c r="U623" s="2"/>
      <c r="V623" s="2"/>
      <c r="W623" s="2"/>
      <c r="X623" s="2"/>
      <c r="Y623" s="2"/>
      <c r="Z623" s="1"/>
      <c r="AA623" s="1"/>
      <c r="AB623" s="1"/>
      <c r="AC623" s="1"/>
      <c r="AD623" s="1"/>
      <c r="AE623" s="1"/>
      <c r="AF623" s="1"/>
      <c r="AG623" s="1"/>
      <c r="AH623" s="1"/>
      <c r="AI623" s="1"/>
      <c r="AJ623" s="1"/>
      <c r="AK623" s="1"/>
    </row>
    <row r="624" ht="30.0" customHeight="1">
      <c r="A624" s="1"/>
      <c r="B624" s="1"/>
      <c r="C624" s="2"/>
      <c r="D624" s="2"/>
      <c r="E624" s="2"/>
      <c r="F624" s="2"/>
      <c r="G624" s="2"/>
      <c r="H624" s="2"/>
      <c r="I624" s="2"/>
      <c r="J624" s="2"/>
      <c r="K624" s="2"/>
      <c r="L624" s="2"/>
      <c r="M624" s="2"/>
      <c r="N624" s="1"/>
      <c r="O624" s="2"/>
      <c r="P624" s="2"/>
      <c r="Q624" s="2"/>
      <c r="R624" s="2"/>
      <c r="S624" s="2"/>
      <c r="T624" s="2"/>
      <c r="U624" s="2"/>
      <c r="V624" s="2"/>
      <c r="W624" s="2"/>
      <c r="X624" s="2"/>
      <c r="Y624" s="2"/>
      <c r="Z624" s="1"/>
      <c r="AA624" s="1"/>
      <c r="AB624" s="1"/>
      <c r="AC624" s="1"/>
      <c r="AD624" s="1"/>
      <c r="AE624" s="1"/>
      <c r="AF624" s="1"/>
      <c r="AG624" s="1"/>
      <c r="AH624" s="1"/>
      <c r="AI624" s="1"/>
      <c r="AJ624" s="1"/>
      <c r="AK624" s="1"/>
    </row>
    <row r="625" ht="30.0" customHeight="1">
      <c r="A625" s="1"/>
      <c r="B625" s="1"/>
      <c r="C625" s="2"/>
      <c r="D625" s="2"/>
      <c r="E625" s="2"/>
      <c r="F625" s="2"/>
      <c r="G625" s="2"/>
      <c r="H625" s="2"/>
      <c r="I625" s="2"/>
      <c r="J625" s="2"/>
      <c r="K625" s="2"/>
      <c r="L625" s="2"/>
      <c r="M625" s="2"/>
      <c r="N625" s="1"/>
      <c r="O625" s="2"/>
      <c r="P625" s="2"/>
      <c r="Q625" s="2"/>
      <c r="R625" s="2"/>
      <c r="S625" s="2"/>
      <c r="T625" s="2"/>
      <c r="U625" s="2"/>
      <c r="V625" s="2"/>
      <c r="W625" s="2"/>
      <c r="X625" s="2"/>
      <c r="Y625" s="2"/>
      <c r="Z625" s="1"/>
      <c r="AA625" s="1"/>
      <c r="AB625" s="1"/>
      <c r="AC625" s="1"/>
      <c r="AD625" s="1"/>
      <c r="AE625" s="1"/>
      <c r="AF625" s="1"/>
      <c r="AG625" s="1"/>
      <c r="AH625" s="1"/>
      <c r="AI625" s="1"/>
      <c r="AJ625" s="1"/>
      <c r="AK625" s="1"/>
    </row>
    <row r="626" ht="30.0" customHeight="1">
      <c r="A626" s="1"/>
      <c r="B626" s="1"/>
      <c r="C626" s="2"/>
      <c r="D626" s="2"/>
      <c r="E626" s="2"/>
      <c r="F626" s="2"/>
      <c r="G626" s="2"/>
      <c r="H626" s="2"/>
      <c r="I626" s="2"/>
      <c r="J626" s="2"/>
      <c r="K626" s="2"/>
      <c r="L626" s="2"/>
      <c r="M626" s="2"/>
      <c r="N626" s="1"/>
      <c r="O626" s="2"/>
      <c r="P626" s="2"/>
      <c r="Q626" s="2"/>
      <c r="R626" s="2"/>
      <c r="S626" s="2"/>
      <c r="T626" s="2"/>
      <c r="U626" s="2"/>
      <c r="V626" s="2"/>
      <c r="W626" s="2"/>
      <c r="X626" s="2"/>
      <c r="Y626" s="2"/>
      <c r="Z626" s="1"/>
      <c r="AA626" s="1"/>
      <c r="AB626" s="1"/>
      <c r="AC626" s="1"/>
      <c r="AD626" s="1"/>
      <c r="AE626" s="1"/>
      <c r="AF626" s="1"/>
      <c r="AG626" s="1"/>
      <c r="AH626" s="1"/>
      <c r="AI626" s="1"/>
      <c r="AJ626" s="1"/>
      <c r="AK626" s="1"/>
    </row>
    <row r="627" ht="30.0" customHeight="1">
      <c r="A627" s="1"/>
      <c r="B627" s="1"/>
      <c r="C627" s="2"/>
      <c r="D627" s="2"/>
      <c r="E627" s="2"/>
      <c r="F627" s="2"/>
      <c r="G627" s="2"/>
      <c r="H627" s="2"/>
      <c r="I627" s="2"/>
      <c r="J627" s="2"/>
      <c r="K627" s="2"/>
      <c r="L627" s="2"/>
      <c r="M627" s="2"/>
      <c r="N627" s="1"/>
      <c r="O627" s="2"/>
      <c r="P627" s="2"/>
      <c r="Q627" s="2"/>
      <c r="R627" s="2"/>
      <c r="S627" s="2"/>
      <c r="T627" s="2"/>
      <c r="U627" s="2"/>
      <c r="V627" s="2"/>
      <c r="W627" s="2"/>
      <c r="X627" s="2"/>
      <c r="Y627" s="2"/>
      <c r="Z627" s="1"/>
      <c r="AA627" s="1"/>
      <c r="AB627" s="1"/>
      <c r="AC627" s="1"/>
      <c r="AD627" s="1"/>
      <c r="AE627" s="1"/>
      <c r="AF627" s="1"/>
      <c r="AG627" s="1"/>
      <c r="AH627" s="1"/>
      <c r="AI627" s="1"/>
      <c r="AJ627" s="1"/>
      <c r="AK627" s="1"/>
    </row>
    <row r="628" ht="30.0" customHeight="1">
      <c r="A628" s="1"/>
      <c r="B628" s="1"/>
      <c r="C628" s="2"/>
      <c r="D628" s="2"/>
      <c r="E628" s="2"/>
      <c r="F628" s="2"/>
      <c r="G628" s="2"/>
      <c r="H628" s="2"/>
      <c r="I628" s="2"/>
      <c r="J628" s="2"/>
      <c r="K628" s="2"/>
      <c r="L628" s="2"/>
      <c r="M628" s="2"/>
      <c r="N628" s="1"/>
      <c r="O628" s="2"/>
      <c r="P628" s="2"/>
      <c r="Q628" s="2"/>
      <c r="R628" s="2"/>
      <c r="S628" s="2"/>
      <c r="T628" s="2"/>
      <c r="U628" s="2"/>
      <c r="V628" s="2"/>
      <c r="W628" s="2"/>
      <c r="X628" s="2"/>
      <c r="Y628" s="2"/>
      <c r="Z628" s="1"/>
      <c r="AA628" s="1"/>
      <c r="AB628" s="1"/>
      <c r="AC628" s="1"/>
      <c r="AD628" s="1"/>
      <c r="AE628" s="1"/>
      <c r="AF628" s="1"/>
      <c r="AG628" s="1"/>
      <c r="AH628" s="1"/>
      <c r="AI628" s="1"/>
      <c r="AJ628" s="1"/>
      <c r="AK628" s="1"/>
    </row>
    <row r="629" ht="30.0" customHeight="1">
      <c r="A629" s="1"/>
      <c r="B629" s="1"/>
      <c r="C629" s="2"/>
      <c r="D629" s="2"/>
      <c r="E629" s="2"/>
      <c r="F629" s="2"/>
      <c r="G629" s="2"/>
      <c r="H629" s="2"/>
      <c r="I629" s="2"/>
      <c r="J629" s="2"/>
      <c r="K629" s="2"/>
      <c r="L629" s="2"/>
      <c r="M629" s="2"/>
      <c r="N629" s="1"/>
      <c r="O629" s="2"/>
      <c r="P629" s="2"/>
      <c r="Q629" s="2"/>
      <c r="R629" s="2"/>
      <c r="S629" s="2"/>
      <c r="T629" s="2"/>
      <c r="U629" s="2"/>
      <c r="V629" s="2"/>
      <c r="W629" s="2"/>
      <c r="X629" s="2"/>
      <c r="Y629" s="2"/>
      <c r="Z629" s="1"/>
      <c r="AA629" s="1"/>
      <c r="AB629" s="1"/>
      <c r="AC629" s="1"/>
      <c r="AD629" s="1"/>
      <c r="AE629" s="1"/>
      <c r="AF629" s="1"/>
      <c r="AG629" s="1"/>
      <c r="AH629" s="1"/>
      <c r="AI629" s="1"/>
      <c r="AJ629" s="1"/>
      <c r="AK629" s="1"/>
    </row>
    <row r="630" ht="30.0" customHeight="1">
      <c r="A630" s="1"/>
      <c r="B630" s="1"/>
      <c r="C630" s="2"/>
      <c r="D630" s="2"/>
      <c r="E630" s="2"/>
      <c r="F630" s="2"/>
      <c r="G630" s="2"/>
      <c r="H630" s="2"/>
      <c r="I630" s="2"/>
      <c r="J630" s="2"/>
      <c r="K630" s="2"/>
      <c r="L630" s="2"/>
      <c r="M630" s="2"/>
      <c r="N630" s="1"/>
      <c r="O630" s="2"/>
      <c r="P630" s="2"/>
      <c r="Q630" s="2"/>
      <c r="R630" s="2"/>
      <c r="S630" s="2"/>
      <c r="T630" s="2"/>
      <c r="U630" s="2"/>
      <c r="V630" s="2"/>
      <c r="W630" s="2"/>
      <c r="X630" s="2"/>
      <c r="Y630" s="2"/>
      <c r="Z630" s="1"/>
      <c r="AA630" s="1"/>
      <c r="AB630" s="1"/>
      <c r="AC630" s="1"/>
      <c r="AD630" s="1"/>
      <c r="AE630" s="1"/>
      <c r="AF630" s="1"/>
      <c r="AG630" s="1"/>
      <c r="AH630" s="1"/>
      <c r="AI630" s="1"/>
      <c r="AJ630" s="1"/>
      <c r="AK630" s="1"/>
    </row>
    <row r="631" ht="30.0" customHeight="1">
      <c r="A631" s="1"/>
      <c r="B631" s="1"/>
      <c r="C631" s="2"/>
      <c r="D631" s="2"/>
      <c r="E631" s="2"/>
      <c r="F631" s="2"/>
      <c r="G631" s="2"/>
      <c r="H631" s="2"/>
      <c r="I631" s="2"/>
      <c r="J631" s="2"/>
      <c r="K631" s="2"/>
      <c r="L631" s="2"/>
      <c r="M631" s="2"/>
      <c r="N631" s="1"/>
      <c r="O631" s="2"/>
      <c r="P631" s="2"/>
      <c r="Q631" s="2"/>
      <c r="R631" s="2"/>
      <c r="S631" s="2"/>
      <c r="T631" s="2"/>
      <c r="U631" s="2"/>
      <c r="V631" s="2"/>
      <c r="W631" s="2"/>
      <c r="X631" s="2"/>
      <c r="Y631" s="2"/>
      <c r="Z631" s="1"/>
      <c r="AA631" s="1"/>
      <c r="AB631" s="1"/>
      <c r="AC631" s="1"/>
      <c r="AD631" s="1"/>
      <c r="AE631" s="1"/>
      <c r="AF631" s="1"/>
      <c r="AG631" s="1"/>
      <c r="AH631" s="1"/>
      <c r="AI631" s="1"/>
      <c r="AJ631" s="1"/>
      <c r="AK631" s="1"/>
    </row>
    <row r="632" ht="30.0" customHeight="1">
      <c r="A632" s="1"/>
      <c r="B632" s="1"/>
      <c r="C632" s="2"/>
      <c r="D632" s="2"/>
      <c r="E632" s="2"/>
      <c r="F632" s="2"/>
      <c r="G632" s="2"/>
      <c r="H632" s="2"/>
      <c r="I632" s="2"/>
      <c r="J632" s="2"/>
      <c r="K632" s="2"/>
      <c r="L632" s="2"/>
      <c r="M632" s="2"/>
      <c r="N632" s="1"/>
      <c r="O632" s="2"/>
      <c r="P632" s="2"/>
      <c r="Q632" s="2"/>
      <c r="R632" s="2"/>
      <c r="S632" s="2"/>
      <c r="T632" s="2"/>
      <c r="U632" s="2"/>
      <c r="V632" s="2"/>
      <c r="W632" s="2"/>
      <c r="X632" s="2"/>
      <c r="Y632" s="2"/>
      <c r="Z632" s="1"/>
      <c r="AA632" s="1"/>
      <c r="AB632" s="1"/>
      <c r="AC632" s="1"/>
      <c r="AD632" s="1"/>
      <c r="AE632" s="1"/>
      <c r="AF632" s="1"/>
      <c r="AG632" s="1"/>
      <c r="AH632" s="1"/>
      <c r="AI632" s="1"/>
      <c r="AJ632" s="1"/>
      <c r="AK632" s="1"/>
    </row>
    <row r="633" ht="30.0" customHeight="1">
      <c r="A633" s="1"/>
      <c r="B633" s="1"/>
      <c r="C633" s="2"/>
      <c r="D633" s="2"/>
      <c r="E633" s="2"/>
      <c r="F633" s="2"/>
      <c r="G633" s="2"/>
      <c r="H633" s="2"/>
      <c r="I633" s="2"/>
      <c r="J633" s="2"/>
      <c r="K633" s="2"/>
      <c r="L633" s="2"/>
      <c r="M633" s="2"/>
      <c r="N633" s="1"/>
      <c r="O633" s="2"/>
      <c r="P633" s="2"/>
      <c r="Q633" s="2"/>
      <c r="R633" s="2"/>
      <c r="S633" s="2"/>
      <c r="T633" s="2"/>
      <c r="U633" s="2"/>
      <c r="V633" s="2"/>
      <c r="W633" s="2"/>
      <c r="X633" s="2"/>
      <c r="Y633" s="2"/>
      <c r="Z633" s="1"/>
      <c r="AA633" s="1"/>
      <c r="AB633" s="1"/>
      <c r="AC633" s="1"/>
      <c r="AD633" s="1"/>
      <c r="AE633" s="1"/>
      <c r="AF633" s="1"/>
      <c r="AG633" s="1"/>
      <c r="AH633" s="1"/>
      <c r="AI633" s="1"/>
      <c r="AJ633" s="1"/>
      <c r="AK633" s="1"/>
    </row>
    <row r="634" ht="30.0" customHeight="1">
      <c r="A634" s="1"/>
      <c r="B634" s="1"/>
      <c r="C634" s="2"/>
      <c r="D634" s="2"/>
      <c r="E634" s="2"/>
      <c r="F634" s="2"/>
      <c r="G634" s="2"/>
      <c r="H634" s="2"/>
      <c r="I634" s="2"/>
      <c r="J634" s="2"/>
      <c r="K634" s="2"/>
      <c r="L634" s="2"/>
      <c r="M634" s="2"/>
      <c r="N634" s="1"/>
      <c r="O634" s="2"/>
      <c r="P634" s="2"/>
      <c r="Q634" s="2"/>
      <c r="R634" s="2"/>
      <c r="S634" s="2"/>
      <c r="T634" s="2"/>
      <c r="U634" s="2"/>
      <c r="V634" s="2"/>
      <c r="W634" s="2"/>
      <c r="X634" s="2"/>
      <c r="Y634" s="2"/>
      <c r="Z634" s="1"/>
      <c r="AA634" s="1"/>
      <c r="AB634" s="1"/>
      <c r="AC634" s="1"/>
      <c r="AD634" s="1"/>
      <c r="AE634" s="1"/>
      <c r="AF634" s="1"/>
      <c r="AG634" s="1"/>
      <c r="AH634" s="1"/>
      <c r="AI634" s="1"/>
      <c r="AJ634" s="1"/>
      <c r="AK634" s="1"/>
    </row>
    <row r="635" ht="30.0" customHeight="1">
      <c r="A635" s="1"/>
      <c r="B635" s="1"/>
      <c r="C635" s="2"/>
      <c r="D635" s="2"/>
      <c r="E635" s="2"/>
      <c r="F635" s="2"/>
      <c r="G635" s="2"/>
      <c r="H635" s="2"/>
      <c r="I635" s="2"/>
      <c r="J635" s="2"/>
      <c r="K635" s="2"/>
      <c r="L635" s="2"/>
      <c r="M635" s="2"/>
      <c r="N635" s="1"/>
      <c r="O635" s="2"/>
      <c r="P635" s="2"/>
      <c r="Q635" s="2"/>
      <c r="R635" s="2"/>
      <c r="S635" s="2"/>
      <c r="T635" s="2"/>
      <c r="U635" s="2"/>
      <c r="V635" s="2"/>
      <c r="W635" s="2"/>
      <c r="X635" s="2"/>
      <c r="Y635" s="2"/>
      <c r="Z635" s="1"/>
      <c r="AA635" s="1"/>
      <c r="AB635" s="1"/>
      <c r="AC635" s="1"/>
      <c r="AD635" s="1"/>
      <c r="AE635" s="1"/>
      <c r="AF635" s="1"/>
      <c r="AG635" s="1"/>
      <c r="AH635" s="1"/>
      <c r="AI635" s="1"/>
      <c r="AJ635" s="1"/>
      <c r="AK635" s="1"/>
    </row>
    <row r="636" ht="30.0" customHeight="1">
      <c r="A636" s="1"/>
      <c r="B636" s="1"/>
      <c r="C636" s="2"/>
      <c r="D636" s="2"/>
      <c r="E636" s="2"/>
      <c r="F636" s="2"/>
      <c r="G636" s="2"/>
      <c r="H636" s="2"/>
      <c r="I636" s="2"/>
      <c r="J636" s="2"/>
      <c r="K636" s="2"/>
      <c r="L636" s="2"/>
      <c r="M636" s="2"/>
      <c r="N636" s="1"/>
      <c r="O636" s="2"/>
      <c r="P636" s="2"/>
      <c r="Q636" s="2"/>
      <c r="R636" s="2"/>
      <c r="S636" s="2"/>
      <c r="T636" s="2"/>
      <c r="U636" s="2"/>
      <c r="V636" s="2"/>
      <c r="W636" s="2"/>
      <c r="X636" s="2"/>
      <c r="Y636" s="2"/>
      <c r="Z636" s="1"/>
      <c r="AA636" s="1"/>
      <c r="AB636" s="1"/>
      <c r="AC636" s="1"/>
      <c r="AD636" s="1"/>
      <c r="AE636" s="1"/>
      <c r="AF636" s="1"/>
      <c r="AG636" s="1"/>
      <c r="AH636" s="1"/>
      <c r="AI636" s="1"/>
      <c r="AJ636" s="1"/>
      <c r="AK636" s="1"/>
    </row>
    <row r="637" ht="30.0" customHeight="1">
      <c r="A637" s="1"/>
      <c r="B637" s="1"/>
      <c r="C637" s="2"/>
      <c r="D637" s="2"/>
      <c r="E637" s="2"/>
      <c r="F637" s="2"/>
      <c r="G637" s="2"/>
      <c r="H637" s="2"/>
      <c r="I637" s="2"/>
      <c r="J637" s="2"/>
      <c r="K637" s="2"/>
      <c r="L637" s="2"/>
      <c r="M637" s="2"/>
      <c r="N637" s="1"/>
      <c r="O637" s="2"/>
      <c r="P637" s="2"/>
      <c r="Q637" s="2"/>
      <c r="R637" s="2"/>
      <c r="S637" s="2"/>
      <c r="T637" s="2"/>
      <c r="U637" s="2"/>
      <c r="V637" s="2"/>
      <c r="W637" s="2"/>
      <c r="X637" s="2"/>
      <c r="Y637" s="2"/>
      <c r="Z637" s="1"/>
      <c r="AA637" s="1"/>
      <c r="AB637" s="1"/>
      <c r="AC637" s="1"/>
      <c r="AD637" s="1"/>
      <c r="AE637" s="1"/>
      <c r="AF637" s="1"/>
      <c r="AG637" s="1"/>
      <c r="AH637" s="1"/>
      <c r="AI637" s="1"/>
      <c r="AJ637" s="1"/>
      <c r="AK637" s="1"/>
    </row>
    <row r="638" ht="30.0" customHeight="1">
      <c r="A638" s="1"/>
      <c r="B638" s="1"/>
      <c r="C638" s="2"/>
      <c r="D638" s="2"/>
      <c r="E638" s="2"/>
      <c r="F638" s="2"/>
      <c r="G638" s="2"/>
      <c r="H638" s="2"/>
      <c r="I638" s="2"/>
      <c r="J638" s="2"/>
      <c r="K638" s="2"/>
      <c r="L638" s="2"/>
      <c r="M638" s="2"/>
      <c r="N638" s="1"/>
      <c r="O638" s="2"/>
      <c r="P638" s="2"/>
      <c r="Q638" s="2"/>
      <c r="R638" s="2"/>
      <c r="S638" s="2"/>
      <c r="T638" s="2"/>
      <c r="U638" s="2"/>
      <c r="V638" s="2"/>
      <c r="W638" s="2"/>
      <c r="X638" s="2"/>
      <c r="Y638" s="2"/>
      <c r="Z638" s="1"/>
      <c r="AA638" s="1"/>
      <c r="AB638" s="1"/>
      <c r="AC638" s="1"/>
      <c r="AD638" s="1"/>
      <c r="AE638" s="1"/>
      <c r="AF638" s="1"/>
      <c r="AG638" s="1"/>
      <c r="AH638" s="1"/>
      <c r="AI638" s="1"/>
      <c r="AJ638" s="1"/>
      <c r="AK638" s="1"/>
    </row>
    <row r="639" ht="30.0" customHeight="1">
      <c r="A639" s="1"/>
      <c r="B639" s="1"/>
      <c r="C639" s="2"/>
      <c r="D639" s="2"/>
      <c r="E639" s="2"/>
      <c r="F639" s="2"/>
      <c r="G639" s="2"/>
      <c r="H639" s="2"/>
      <c r="I639" s="2"/>
      <c r="J639" s="2"/>
      <c r="K639" s="2"/>
      <c r="L639" s="2"/>
      <c r="M639" s="2"/>
      <c r="N639" s="1"/>
      <c r="O639" s="2"/>
      <c r="P639" s="2"/>
      <c r="Q639" s="2"/>
      <c r="R639" s="2"/>
      <c r="S639" s="2"/>
      <c r="T639" s="2"/>
      <c r="U639" s="2"/>
      <c r="V639" s="2"/>
      <c r="W639" s="2"/>
      <c r="X639" s="2"/>
      <c r="Y639" s="2"/>
      <c r="Z639" s="1"/>
      <c r="AA639" s="1"/>
      <c r="AB639" s="1"/>
      <c r="AC639" s="1"/>
      <c r="AD639" s="1"/>
      <c r="AE639" s="1"/>
      <c r="AF639" s="1"/>
      <c r="AG639" s="1"/>
      <c r="AH639" s="1"/>
      <c r="AI639" s="1"/>
      <c r="AJ639" s="1"/>
      <c r="AK639" s="1"/>
    </row>
    <row r="640" ht="30.0" customHeight="1">
      <c r="A640" s="1"/>
      <c r="B640" s="1"/>
      <c r="C640" s="2"/>
      <c r="D640" s="2"/>
      <c r="E640" s="2"/>
      <c r="F640" s="2"/>
      <c r="G640" s="2"/>
      <c r="H640" s="2"/>
      <c r="I640" s="2"/>
      <c r="J640" s="2"/>
      <c r="K640" s="2"/>
      <c r="L640" s="2"/>
      <c r="M640" s="2"/>
      <c r="N640" s="1"/>
      <c r="O640" s="2"/>
      <c r="P640" s="2"/>
      <c r="Q640" s="2"/>
      <c r="R640" s="2"/>
      <c r="S640" s="2"/>
      <c r="T640" s="2"/>
      <c r="U640" s="2"/>
      <c r="V640" s="2"/>
      <c r="W640" s="2"/>
      <c r="X640" s="2"/>
      <c r="Y640" s="2"/>
      <c r="Z640" s="1"/>
      <c r="AA640" s="1"/>
      <c r="AB640" s="1"/>
      <c r="AC640" s="1"/>
      <c r="AD640" s="1"/>
      <c r="AE640" s="1"/>
      <c r="AF640" s="1"/>
      <c r="AG640" s="1"/>
      <c r="AH640" s="1"/>
      <c r="AI640" s="1"/>
      <c r="AJ640" s="1"/>
      <c r="AK640" s="1"/>
    </row>
    <row r="641" ht="30.0" customHeight="1">
      <c r="A641" s="1"/>
      <c r="B641" s="1"/>
      <c r="C641" s="2"/>
      <c r="D641" s="2"/>
      <c r="E641" s="2"/>
      <c r="F641" s="2"/>
      <c r="G641" s="2"/>
      <c r="H641" s="2"/>
      <c r="I641" s="2"/>
      <c r="J641" s="2"/>
      <c r="K641" s="2"/>
      <c r="L641" s="2"/>
      <c r="M641" s="2"/>
      <c r="N641" s="1"/>
      <c r="O641" s="2"/>
      <c r="P641" s="2"/>
      <c r="Q641" s="2"/>
      <c r="R641" s="2"/>
      <c r="S641" s="2"/>
      <c r="T641" s="2"/>
      <c r="U641" s="2"/>
      <c r="V641" s="2"/>
      <c r="W641" s="2"/>
      <c r="X641" s="2"/>
      <c r="Y641" s="2"/>
      <c r="Z641" s="1"/>
      <c r="AA641" s="1"/>
      <c r="AB641" s="1"/>
      <c r="AC641" s="1"/>
      <c r="AD641" s="1"/>
      <c r="AE641" s="1"/>
      <c r="AF641" s="1"/>
      <c r="AG641" s="1"/>
      <c r="AH641" s="1"/>
      <c r="AI641" s="1"/>
      <c r="AJ641" s="1"/>
      <c r="AK641" s="1"/>
    </row>
    <row r="642" ht="30.0" customHeight="1">
      <c r="A642" s="1"/>
      <c r="B642" s="1"/>
      <c r="C642" s="2"/>
      <c r="D642" s="2"/>
      <c r="E642" s="2"/>
      <c r="F642" s="2"/>
      <c r="G642" s="2"/>
      <c r="H642" s="2"/>
      <c r="I642" s="2"/>
      <c r="J642" s="2"/>
      <c r="K642" s="2"/>
      <c r="L642" s="2"/>
      <c r="M642" s="2"/>
      <c r="N642" s="1"/>
      <c r="O642" s="2"/>
      <c r="P642" s="2"/>
      <c r="Q642" s="2"/>
      <c r="R642" s="2"/>
      <c r="S642" s="2"/>
      <c r="T642" s="2"/>
      <c r="U642" s="2"/>
      <c r="V642" s="2"/>
      <c r="W642" s="2"/>
      <c r="X642" s="2"/>
      <c r="Y642" s="2"/>
      <c r="Z642" s="1"/>
      <c r="AA642" s="1"/>
      <c r="AB642" s="1"/>
      <c r="AC642" s="1"/>
      <c r="AD642" s="1"/>
      <c r="AE642" s="1"/>
      <c r="AF642" s="1"/>
      <c r="AG642" s="1"/>
      <c r="AH642" s="1"/>
      <c r="AI642" s="1"/>
      <c r="AJ642" s="1"/>
      <c r="AK642" s="1"/>
    </row>
    <row r="643" ht="30.0" customHeight="1">
      <c r="A643" s="1"/>
      <c r="B643" s="1"/>
      <c r="C643" s="2"/>
      <c r="D643" s="2"/>
      <c r="E643" s="2"/>
      <c r="F643" s="2"/>
      <c r="G643" s="2"/>
      <c r="H643" s="2"/>
      <c r="I643" s="2"/>
      <c r="J643" s="2"/>
      <c r="K643" s="2"/>
      <c r="L643" s="2"/>
      <c r="M643" s="2"/>
      <c r="N643" s="1"/>
      <c r="O643" s="2"/>
      <c r="P643" s="2"/>
      <c r="Q643" s="2"/>
      <c r="R643" s="2"/>
      <c r="S643" s="2"/>
      <c r="T643" s="2"/>
      <c r="U643" s="2"/>
      <c r="V643" s="2"/>
      <c r="W643" s="2"/>
      <c r="X643" s="2"/>
      <c r="Y643" s="2"/>
      <c r="Z643" s="1"/>
      <c r="AA643" s="1"/>
      <c r="AB643" s="1"/>
      <c r="AC643" s="1"/>
      <c r="AD643" s="1"/>
      <c r="AE643" s="1"/>
      <c r="AF643" s="1"/>
      <c r="AG643" s="1"/>
      <c r="AH643" s="1"/>
      <c r="AI643" s="1"/>
      <c r="AJ643" s="1"/>
      <c r="AK643" s="1"/>
    </row>
    <row r="644" ht="30.0" customHeight="1">
      <c r="A644" s="1"/>
      <c r="B644" s="1"/>
      <c r="C644" s="2"/>
      <c r="D644" s="2"/>
      <c r="E644" s="2"/>
      <c r="F644" s="2"/>
      <c r="G644" s="2"/>
      <c r="H644" s="2"/>
      <c r="I644" s="2"/>
      <c r="J644" s="2"/>
      <c r="K644" s="2"/>
      <c r="L644" s="2"/>
      <c r="M644" s="2"/>
      <c r="N644" s="1"/>
      <c r="O644" s="2"/>
      <c r="P644" s="2"/>
      <c r="Q644" s="2"/>
      <c r="R644" s="2"/>
      <c r="S644" s="2"/>
      <c r="T644" s="2"/>
      <c r="U644" s="2"/>
      <c r="V644" s="2"/>
      <c r="W644" s="2"/>
      <c r="X644" s="2"/>
      <c r="Y644" s="2"/>
      <c r="Z644" s="1"/>
      <c r="AA644" s="1"/>
      <c r="AB644" s="1"/>
      <c r="AC644" s="1"/>
      <c r="AD644" s="1"/>
      <c r="AE644" s="1"/>
      <c r="AF644" s="1"/>
      <c r="AG644" s="1"/>
      <c r="AH644" s="1"/>
      <c r="AI644" s="1"/>
      <c r="AJ644" s="1"/>
      <c r="AK644" s="1"/>
    </row>
    <row r="645" ht="30.0" customHeight="1">
      <c r="A645" s="1"/>
      <c r="B645" s="1"/>
      <c r="C645" s="2"/>
      <c r="D645" s="2"/>
      <c r="E645" s="2"/>
      <c r="F645" s="2"/>
      <c r="G645" s="2"/>
      <c r="H645" s="2"/>
      <c r="I645" s="2"/>
      <c r="J645" s="2"/>
      <c r="K645" s="2"/>
      <c r="L645" s="2"/>
      <c r="M645" s="2"/>
      <c r="N645" s="1"/>
      <c r="O645" s="2"/>
      <c r="P645" s="2"/>
      <c r="Q645" s="2"/>
      <c r="R645" s="2"/>
      <c r="S645" s="2"/>
      <c r="T645" s="2"/>
      <c r="U645" s="2"/>
      <c r="V645" s="2"/>
      <c r="W645" s="2"/>
      <c r="X645" s="2"/>
      <c r="Y645" s="2"/>
      <c r="Z645" s="1"/>
      <c r="AA645" s="1"/>
      <c r="AB645" s="1"/>
      <c r="AC645" s="1"/>
      <c r="AD645" s="1"/>
      <c r="AE645" s="1"/>
      <c r="AF645" s="1"/>
      <c r="AG645" s="1"/>
      <c r="AH645" s="1"/>
      <c r="AI645" s="1"/>
      <c r="AJ645" s="1"/>
      <c r="AK645" s="1"/>
    </row>
    <row r="646" ht="30.0" customHeight="1">
      <c r="A646" s="1"/>
      <c r="B646" s="1"/>
      <c r="C646" s="2"/>
      <c r="D646" s="2"/>
      <c r="E646" s="2"/>
      <c r="F646" s="2"/>
      <c r="G646" s="2"/>
      <c r="H646" s="2"/>
      <c r="I646" s="2"/>
      <c r="J646" s="2"/>
      <c r="K646" s="2"/>
      <c r="L646" s="2"/>
      <c r="M646" s="2"/>
      <c r="N646" s="1"/>
      <c r="O646" s="2"/>
      <c r="P646" s="2"/>
      <c r="Q646" s="2"/>
      <c r="R646" s="2"/>
      <c r="S646" s="2"/>
      <c r="T646" s="2"/>
      <c r="U646" s="2"/>
      <c r="V646" s="2"/>
      <c r="W646" s="2"/>
      <c r="X646" s="2"/>
      <c r="Y646" s="2"/>
      <c r="Z646" s="1"/>
      <c r="AA646" s="1"/>
      <c r="AB646" s="1"/>
      <c r="AC646" s="1"/>
      <c r="AD646" s="1"/>
      <c r="AE646" s="1"/>
      <c r="AF646" s="1"/>
      <c r="AG646" s="1"/>
      <c r="AH646" s="1"/>
      <c r="AI646" s="1"/>
      <c r="AJ646" s="1"/>
      <c r="AK646" s="1"/>
    </row>
    <row r="647" ht="30.0" customHeight="1">
      <c r="A647" s="1"/>
      <c r="B647" s="1"/>
      <c r="C647" s="2"/>
      <c r="D647" s="2"/>
      <c r="E647" s="2"/>
      <c r="F647" s="2"/>
      <c r="G647" s="2"/>
      <c r="H647" s="2"/>
      <c r="I647" s="2"/>
      <c r="J647" s="2"/>
      <c r="K647" s="2"/>
      <c r="L647" s="2"/>
      <c r="M647" s="2"/>
      <c r="N647" s="1"/>
      <c r="O647" s="2"/>
      <c r="P647" s="2"/>
      <c r="Q647" s="2"/>
      <c r="R647" s="2"/>
      <c r="S647" s="2"/>
      <c r="T647" s="2"/>
      <c r="U647" s="2"/>
      <c r="V647" s="2"/>
      <c r="W647" s="2"/>
      <c r="X647" s="2"/>
      <c r="Y647" s="2"/>
      <c r="Z647" s="1"/>
      <c r="AA647" s="1"/>
      <c r="AB647" s="1"/>
      <c r="AC647" s="1"/>
      <c r="AD647" s="1"/>
      <c r="AE647" s="1"/>
      <c r="AF647" s="1"/>
      <c r="AG647" s="1"/>
      <c r="AH647" s="1"/>
      <c r="AI647" s="1"/>
      <c r="AJ647" s="1"/>
      <c r="AK647" s="1"/>
    </row>
    <row r="648" ht="30.0" customHeight="1">
      <c r="A648" s="1"/>
      <c r="B648" s="1"/>
      <c r="C648" s="2"/>
      <c r="D648" s="2"/>
      <c r="E648" s="2"/>
      <c r="F648" s="2"/>
      <c r="G648" s="2"/>
      <c r="H648" s="2"/>
      <c r="I648" s="2"/>
      <c r="J648" s="2"/>
      <c r="K648" s="2"/>
      <c r="L648" s="2"/>
      <c r="M648" s="2"/>
      <c r="N648" s="1"/>
      <c r="O648" s="2"/>
      <c r="P648" s="2"/>
      <c r="Q648" s="2"/>
      <c r="R648" s="2"/>
      <c r="S648" s="2"/>
      <c r="T648" s="2"/>
      <c r="U648" s="2"/>
      <c r="V648" s="2"/>
      <c r="W648" s="2"/>
      <c r="X648" s="2"/>
      <c r="Y648" s="2"/>
      <c r="Z648" s="1"/>
      <c r="AA648" s="1"/>
      <c r="AB648" s="1"/>
      <c r="AC648" s="1"/>
      <c r="AD648" s="1"/>
      <c r="AE648" s="1"/>
      <c r="AF648" s="1"/>
      <c r="AG648" s="1"/>
      <c r="AH648" s="1"/>
      <c r="AI648" s="1"/>
      <c r="AJ648" s="1"/>
      <c r="AK648" s="1"/>
    </row>
    <row r="649" ht="30.0" customHeight="1">
      <c r="A649" s="1"/>
      <c r="B649" s="1"/>
      <c r="C649" s="2"/>
      <c r="D649" s="2"/>
      <c r="E649" s="2"/>
      <c r="F649" s="2"/>
      <c r="G649" s="2"/>
      <c r="H649" s="2"/>
      <c r="I649" s="2"/>
      <c r="J649" s="2"/>
      <c r="K649" s="2"/>
      <c r="L649" s="2"/>
      <c r="M649" s="2"/>
      <c r="N649" s="1"/>
      <c r="O649" s="2"/>
      <c r="P649" s="2"/>
      <c r="Q649" s="2"/>
      <c r="R649" s="2"/>
      <c r="S649" s="2"/>
      <c r="T649" s="2"/>
      <c r="U649" s="2"/>
      <c r="V649" s="2"/>
      <c r="W649" s="2"/>
      <c r="X649" s="2"/>
      <c r="Y649" s="2"/>
      <c r="Z649" s="1"/>
      <c r="AA649" s="1"/>
      <c r="AB649" s="1"/>
      <c r="AC649" s="1"/>
      <c r="AD649" s="1"/>
      <c r="AE649" s="1"/>
      <c r="AF649" s="1"/>
      <c r="AG649" s="1"/>
      <c r="AH649" s="1"/>
      <c r="AI649" s="1"/>
      <c r="AJ649" s="1"/>
      <c r="AK649" s="1"/>
    </row>
    <row r="650" ht="30.0" customHeight="1">
      <c r="A650" s="1"/>
      <c r="B650" s="1"/>
      <c r="C650" s="2"/>
      <c r="D650" s="2"/>
      <c r="E650" s="2"/>
      <c r="F650" s="2"/>
      <c r="G650" s="2"/>
      <c r="H650" s="2"/>
      <c r="I650" s="2"/>
      <c r="J650" s="2"/>
      <c r="K650" s="2"/>
      <c r="L650" s="2"/>
      <c r="M650" s="2"/>
      <c r="N650" s="1"/>
      <c r="O650" s="2"/>
      <c r="P650" s="2"/>
      <c r="Q650" s="2"/>
      <c r="R650" s="2"/>
      <c r="S650" s="2"/>
      <c r="T650" s="2"/>
      <c r="U650" s="2"/>
      <c r="V650" s="2"/>
      <c r="W650" s="2"/>
      <c r="X650" s="2"/>
      <c r="Y650" s="2"/>
      <c r="Z650" s="1"/>
      <c r="AA650" s="1"/>
      <c r="AB650" s="1"/>
      <c r="AC650" s="1"/>
      <c r="AD650" s="1"/>
      <c r="AE650" s="1"/>
      <c r="AF650" s="1"/>
      <c r="AG650" s="1"/>
      <c r="AH650" s="1"/>
      <c r="AI650" s="1"/>
      <c r="AJ650" s="1"/>
      <c r="AK650" s="1"/>
    </row>
    <row r="651" ht="30.0" customHeight="1">
      <c r="A651" s="1"/>
      <c r="B651" s="1"/>
      <c r="C651" s="2"/>
      <c r="D651" s="2"/>
      <c r="E651" s="2"/>
      <c r="F651" s="2"/>
      <c r="G651" s="2"/>
      <c r="H651" s="2"/>
      <c r="I651" s="2"/>
      <c r="J651" s="2"/>
      <c r="K651" s="2"/>
      <c r="L651" s="2"/>
      <c r="M651" s="2"/>
      <c r="N651" s="1"/>
      <c r="O651" s="2"/>
      <c r="P651" s="2"/>
      <c r="Q651" s="2"/>
      <c r="R651" s="2"/>
      <c r="S651" s="2"/>
      <c r="T651" s="2"/>
      <c r="U651" s="2"/>
      <c r="V651" s="2"/>
      <c r="W651" s="2"/>
      <c r="X651" s="2"/>
      <c r="Y651" s="2"/>
      <c r="Z651" s="1"/>
      <c r="AA651" s="1"/>
      <c r="AB651" s="1"/>
      <c r="AC651" s="1"/>
      <c r="AD651" s="1"/>
      <c r="AE651" s="1"/>
      <c r="AF651" s="1"/>
      <c r="AG651" s="1"/>
      <c r="AH651" s="1"/>
      <c r="AI651" s="1"/>
      <c r="AJ651" s="1"/>
      <c r="AK651" s="1"/>
    </row>
    <row r="652" ht="30.0" customHeight="1">
      <c r="A652" s="1"/>
      <c r="B652" s="1"/>
      <c r="C652" s="2"/>
      <c r="D652" s="2"/>
      <c r="E652" s="2"/>
      <c r="F652" s="2"/>
      <c r="G652" s="2"/>
      <c r="H652" s="2"/>
      <c r="I652" s="2"/>
      <c r="J652" s="2"/>
      <c r="K652" s="2"/>
      <c r="L652" s="2"/>
      <c r="M652" s="2"/>
      <c r="N652" s="1"/>
      <c r="O652" s="2"/>
      <c r="P652" s="2"/>
      <c r="Q652" s="2"/>
      <c r="R652" s="2"/>
      <c r="S652" s="2"/>
      <c r="T652" s="2"/>
      <c r="U652" s="2"/>
      <c r="V652" s="2"/>
      <c r="W652" s="2"/>
      <c r="X652" s="2"/>
      <c r="Y652" s="2"/>
      <c r="Z652" s="1"/>
      <c r="AA652" s="1"/>
      <c r="AB652" s="1"/>
      <c r="AC652" s="1"/>
      <c r="AD652" s="1"/>
      <c r="AE652" s="1"/>
      <c r="AF652" s="1"/>
      <c r="AG652" s="1"/>
      <c r="AH652" s="1"/>
      <c r="AI652" s="1"/>
      <c r="AJ652" s="1"/>
      <c r="AK652" s="1"/>
    </row>
    <row r="653" ht="30.0" customHeight="1">
      <c r="A653" s="1"/>
      <c r="B653" s="1"/>
      <c r="C653" s="2"/>
      <c r="D653" s="2"/>
      <c r="E653" s="2"/>
      <c r="F653" s="2"/>
      <c r="G653" s="2"/>
      <c r="H653" s="2"/>
      <c r="I653" s="2"/>
      <c r="J653" s="2"/>
      <c r="K653" s="2"/>
      <c r="L653" s="2"/>
      <c r="M653" s="2"/>
      <c r="N653" s="1"/>
      <c r="O653" s="2"/>
      <c r="P653" s="2"/>
      <c r="Q653" s="2"/>
      <c r="R653" s="2"/>
      <c r="S653" s="2"/>
      <c r="T653" s="2"/>
      <c r="U653" s="2"/>
      <c r="V653" s="2"/>
      <c r="W653" s="2"/>
      <c r="X653" s="2"/>
      <c r="Y653" s="2"/>
      <c r="Z653" s="1"/>
      <c r="AA653" s="1"/>
      <c r="AB653" s="1"/>
      <c r="AC653" s="1"/>
      <c r="AD653" s="1"/>
      <c r="AE653" s="1"/>
      <c r="AF653" s="1"/>
      <c r="AG653" s="1"/>
      <c r="AH653" s="1"/>
      <c r="AI653" s="1"/>
      <c r="AJ653" s="1"/>
      <c r="AK653" s="1"/>
    </row>
    <row r="654" ht="30.0" customHeight="1">
      <c r="A654" s="1"/>
      <c r="B654" s="1"/>
      <c r="C654" s="2"/>
      <c r="D654" s="2"/>
      <c r="E654" s="2"/>
      <c r="F654" s="2"/>
      <c r="G654" s="2"/>
      <c r="H654" s="2"/>
      <c r="I654" s="2"/>
      <c r="J654" s="2"/>
      <c r="K654" s="2"/>
      <c r="L654" s="2"/>
      <c r="M654" s="2"/>
      <c r="N654" s="1"/>
      <c r="O654" s="2"/>
      <c r="P654" s="2"/>
      <c r="Q654" s="2"/>
      <c r="R654" s="2"/>
      <c r="S654" s="2"/>
      <c r="T654" s="2"/>
      <c r="U654" s="2"/>
      <c r="V654" s="2"/>
      <c r="W654" s="2"/>
      <c r="X654" s="2"/>
      <c r="Y654" s="2"/>
      <c r="Z654" s="1"/>
      <c r="AA654" s="1"/>
      <c r="AB654" s="1"/>
      <c r="AC654" s="1"/>
      <c r="AD654" s="1"/>
      <c r="AE654" s="1"/>
      <c r="AF654" s="1"/>
      <c r="AG654" s="1"/>
      <c r="AH654" s="1"/>
      <c r="AI654" s="1"/>
      <c r="AJ654" s="1"/>
      <c r="AK654" s="1"/>
    </row>
    <row r="655" ht="30.0" customHeight="1">
      <c r="A655" s="1"/>
      <c r="B655" s="1"/>
      <c r="C655" s="2"/>
      <c r="D655" s="2"/>
      <c r="E655" s="2"/>
      <c r="F655" s="2"/>
      <c r="G655" s="2"/>
      <c r="H655" s="2"/>
      <c r="I655" s="2"/>
      <c r="J655" s="2"/>
      <c r="K655" s="2"/>
      <c r="L655" s="2"/>
      <c r="M655" s="2"/>
      <c r="N655" s="1"/>
      <c r="O655" s="2"/>
      <c r="P655" s="2"/>
      <c r="Q655" s="2"/>
      <c r="R655" s="2"/>
      <c r="S655" s="2"/>
      <c r="T655" s="2"/>
      <c r="U655" s="2"/>
      <c r="V655" s="2"/>
      <c r="W655" s="2"/>
      <c r="X655" s="2"/>
      <c r="Y655" s="2"/>
      <c r="Z655" s="1"/>
      <c r="AA655" s="1"/>
      <c r="AB655" s="1"/>
      <c r="AC655" s="1"/>
      <c r="AD655" s="1"/>
      <c r="AE655" s="1"/>
      <c r="AF655" s="1"/>
      <c r="AG655" s="1"/>
      <c r="AH655" s="1"/>
      <c r="AI655" s="1"/>
      <c r="AJ655" s="1"/>
      <c r="AK655" s="1"/>
    </row>
    <row r="656" ht="30.0" customHeight="1">
      <c r="A656" s="1"/>
      <c r="B656" s="1"/>
      <c r="C656" s="2"/>
      <c r="D656" s="2"/>
      <c r="E656" s="2"/>
      <c r="F656" s="2"/>
      <c r="G656" s="2"/>
      <c r="H656" s="2"/>
      <c r="I656" s="2"/>
      <c r="J656" s="2"/>
      <c r="K656" s="2"/>
      <c r="L656" s="2"/>
      <c r="M656" s="2"/>
      <c r="N656" s="1"/>
      <c r="O656" s="2"/>
      <c r="P656" s="2"/>
      <c r="Q656" s="2"/>
      <c r="R656" s="2"/>
      <c r="S656" s="2"/>
      <c r="T656" s="2"/>
      <c r="U656" s="2"/>
      <c r="V656" s="2"/>
      <c r="W656" s="2"/>
      <c r="X656" s="2"/>
      <c r="Y656" s="2"/>
      <c r="Z656" s="1"/>
      <c r="AA656" s="1"/>
      <c r="AB656" s="1"/>
      <c r="AC656" s="1"/>
      <c r="AD656" s="1"/>
      <c r="AE656" s="1"/>
      <c r="AF656" s="1"/>
      <c r="AG656" s="1"/>
      <c r="AH656" s="1"/>
      <c r="AI656" s="1"/>
      <c r="AJ656" s="1"/>
      <c r="AK656" s="1"/>
    </row>
    <row r="657" ht="30.0" customHeight="1">
      <c r="A657" s="1"/>
      <c r="B657" s="1"/>
      <c r="C657" s="2"/>
      <c r="D657" s="2"/>
      <c r="E657" s="2"/>
      <c r="F657" s="2"/>
      <c r="G657" s="2"/>
      <c r="H657" s="2"/>
      <c r="I657" s="2"/>
      <c r="J657" s="2"/>
      <c r="K657" s="2"/>
      <c r="L657" s="2"/>
      <c r="M657" s="2"/>
      <c r="N657" s="1"/>
      <c r="O657" s="2"/>
      <c r="P657" s="2"/>
      <c r="Q657" s="2"/>
      <c r="R657" s="2"/>
      <c r="S657" s="2"/>
      <c r="T657" s="2"/>
      <c r="U657" s="2"/>
      <c r="V657" s="2"/>
      <c r="W657" s="2"/>
      <c r="X657" s="2"/>
      <c r="Y657" s="2"/>
      <c r="Z657" s="1"/>
      <c r="AA657" s="1"/>
      <c r="AB657" s="1"/>
      <c r="AC657" s="1"/>
      <c r="AD657" s="1"/>
      <c r="AE657" s="1"/>
      <c r="AF657" s="1"/>
      <c r="AG657" s="1"/>
      <c r="AH657" s="1"/>
      <c r="AI657" s="1"/>
      <c r="AJ657" s="1"/>
      <c r="AK657" s="1"/>
    </row>
    <row r="658" ht="30.0" customHeight="1">
      <c r="A658" s="1"/>
      <c r="B658" s="1"/>
      <c r="C658" s="2"/>
      <c r="D658" s="2"/>
      <c r="E658" s="2"/>
      <c r="F658" s="2"/>
      <c r="G658" s="2"/>
      <c r="H658" s="2"/>
      <c r="I658" s="2"/>
      <c r="J658" s="2"/>
      <c r="K658" s="2"/>
      <c r="L658" s="2"/>
      <c r="M658" s="2"/>
      <c r="N658" s="1"/>
      <c r="O658" s="2"/>
      <c r="P658" s="2"/>
      <c r="Q658" s="2"/>
      <c r="R658" s="2"/>
      <c r="S658" s="2"/>
      <c r="T658" s="2"/>
      <c r="U658" s="2"/>
      <c r="V658" s="2"/>
      <c r="W658" s="2"/>
      <c r="X658" s="2"/>
      <c r="Y658" s="2"/>
      <c r="Z658" s="1"/>
      <c r="AA658" s="1"/>
      <c r="AB658" s="1"/>
      <c r="AC658" s="1"/>
      <c r="AD658" s="1"/>
      <c r="AE658" s="1"/>
      <c r="AF658" s="1"/>
      <c r="AG658" s="1"/>
      <c r="AH658" s="1"/>
      <c r="AI658" s="1"/>
      <c r="AJ658" s="1"/>
      <c r="AK658" s="1"/>
    </row>
    <row r="659" ht="30.0" customHeight="1">
      <c r="A659" s="1"/>
      <c r="B659" s="1"/>
      <c r="C659" s="2"/>
      <c r="D659" s="2"/>
      <c r="E659" s="2"/>
      <c r="F659" s="2"/>
      <c r="G659" s="2"/>
      <c r="H659" s="2"/>
      <c r="I659" s="2"/>
      <c r="J659" s="2"/>
      <c r="K659" s="2"/>
      <c r="L659" s="2"/>
      <c r="M659" s="2"/>
      <c r="N659" s="1"/>
      <c r="O659" s="2"/>
      <c r="P659" s="2"/>
      <c r="Q659" s="2"/>
      <c r="R659" s="2"/>
      <c r="S659" s="2"/>
      <c r="T659" s="2"/>
      <c r="U659" s="2"/>
      <c r="V659" s="2"/>
      <c r="W659" s="2"/>
      <c r="X659" s="2"/>
      <c r="Y659" s="2"/>
      <c r="Z659" s="1"/>
      <c r="AA659" s="1"/>
      <c r="AB659" s="1"/>
      <c r="AC659" s="1"/>
      <c r="AD659" s="1"/>
      <c r="AE659" s="1"/>
      <c r="AF659" s="1"/>
      <c r="AG659" s="1"/>
      <c r="AH659" s="1"/>
      <c r="AI659" s="1"/>
      <c r="AJ659" s="1"/>
      <c r="AK659" s="1"/>
    </row>
    <row r="660" ht="30.0" customHeight="1">
      <c r="A660" s="1"/>
      <c r="B660" s="1"/>
      <c r="C660" s="2"/>
      <c r="D660" s="2"/>
      <c r="E660" s="2"/>
      <c r="F660" s="2"/>
      <c r="G660" s="2"/>
      <c r="H660" s="2"/>
      <c r="I660" s="2"/>
      <c r="J660" s="2"/>
      <c r="K660" s="2"/>
      <c r="L660" s="2"/>
      <c r="M660" s="2"/>
      <c r="N660" s="1"/>
      <c r="O660" s="2"/>
      <c r="P660" s="2"/>
      <c r="Q660" s="2"/>
      <c r="R660" s="2"/>
      <c r="S660" s="2"/>
      <c r="T660" s="2"/>
      <c r="U660" s="2"/>
      <c r="V660" s="2"/>
      <c r="W660" s="2"/>
      <c r="X660" s="2"/>
      <c r="Y660" s="2"/>
      <c r="Z660" s="1"/>
      <c r="AA660" s="1"/>
      <c r="AB660" s="1"/>
      <c r="AC660" s="1"/>
      <c r="AD660" s="1"/>
      <c r="AE660" s="1"/>
      <c r="AF660" s="1"/>
      <c r="AG660" s="1"/>
      <c r="AH660" s="1"/>
      <c r="AI660" s="1"/>
      <c r="AJ660" s="1"/>
      <c r="AK660" s="1"/>
    </row>
    <row r="661" ht="30.0" customHeight="1">
      <c r="A661" s="1"/>
      <c r="B661" s="1"/>
      <c r="C661" s="2"/>
      <c r="D661" s="2"/>
      <c r="E661" s="2"/>
      <c r="F661" s="2"/>
      <c r="G661" s="2"/>
      <c r="H661" s="2"/>
      <c r="I661" s="2"/>
      <c r="J661" s="2"/>
      <c r="K661" s="2"/>
      <c r="L661" s="2"/>
      <c r="M661" s="2"/>
      <c r="N661" s="1"/>
      <c r="O661" s="2"/>
      <c r="P661" s="2"/>
      <c r="Q661" s="2"/>
      <c r="R661" s="2"/>
      <c r="S661" s="2"/>
      <c r="T661" s="2"/>
      <c r="U661" s="2"/>
      <c r="V661" s="2"/>
      <c r="W661" s="2"/>
      <c r="X661" s="2"/>
      <c r="Y661" s="2"/>
      <c r="Z661" s="1"/>
      <c r="AA661" s="1"/>
      <c r="AB661" s="1"/>
      <c r="AC661" s="1"/>
      <c r="AD661" s="1"/>
      <c r="AE661" s="1"/>
      <c r="AF661" s="1"/>
      <c r="AG661" s="1"/>
      <c r="AH661" s="1"/>
      <c r="AI661" s="1"/>
      <c r="AJ661" s="1"/>
      <c r="AK661" s="1"/>
    </row>
    <row r="662" ht="30.0" customHeight="1">
      <c r="A662" s="1"/>
      <c r="B662" s="1"/>
      <c r="C662" s="2"/>
      <c r="D662" s="2"/>
      <c r="E662" s="2"/>
      <c r="F662" s="2"/>
      <c r="G662" s="2"/>
      <c r="H662" s="2"/>
      <c r="I662" s="2"/>
      <c r="J662" s="2"/>
      <c r="K662" s="2"/>
      <c r="L662" s="2"/>
      <c r="M662" s="2"/>
      <c r="N662" s="1"/>
      <c r="O662" s="2"/>
      <c r="P662" s="2"/>
      <c r="Q662" s="2"/>
      <c r="R662" s="2"/>
      <c r="S662" s="2"/>
      <c r="T662" s="2"/>
      <c r="U662" s="2"/>
      <c r="V662" s="2"/>
      <c r="W662" s="2"/>
      <c r="X662" s="2"/>
      <c r="Y662" s="2"/>
      <c r="Z662" s="1"/>
      <c r="AA662" s="1"/>
      <c r="AB662" s="1"/>
      <c r="AC662" s="1"/>
      <c r="AD662" s="1"/>
      <c r="AE662" s="1"/>
      <c r="AF662" s="1"/>
      <c r="AG662" s="1"/>
      <c r="AH662" s="1"/>
      <c r="AI662" s="1"/>
      <c r="AJ662" s="1"/>
      <c r="AK662" s="1"/>
    </row>
    <row r="663" ht="30.0" customHeight="1">
      <c r="A663" s="1"/>
      <c r="B663" s="1"/>
      <c r="C663" s="2"/>
      <c r="D663" s="2"/>
      <c r="E663" s="2"/>
      <c r="F663" s="2"/>
      <c r="G663" s="2"/>
      <c r="H663" s="2"/>
      <c r="I663" s="2"/>
      <c r="J663" s="2"/>
      <c r="K663" s="2"/>
      <c r="L663" s="2"/>
      <c r="M663" s="2"/>
      <c r="N663" s="1"/>
      <c r="O663" s="2"/>
      <c r="P663" s="2"/>
      <c r="Q663" s="2"/>
      <c r="R663" s="2"/>
      <c r="S663" s="2"/>
      <c r="T663" s="2"/>
      <c r="U663" s="2"/>
      <c r="V663" s="2"/>
      <c r="W663" s="2"/>
      <c r="X663" s="2"/>
      <c r="Y663" s="2"/>
      <c r="Z663" s="1"/>
      <c r="AA663" s="1"/>
      <c r="AB663" s="1"/>
      <c r="AC663" s="1"/>
      <c r="AD663" s="1"/>
      <c r="AE663" s="1"/>
      <c r="AF663" s="1"/>
      <c r="AG663" s="1"/>
      <c r="AH663" s="1"/>
      <c r="AI663" s="1"/>
      <c r="AJ663" s="1"/>
      <c r="AK663" s="1"/>
    </row>
    <row r="664" ht="30.0" customHeight="1">
      <c r="A664" s="1"/>
      <c r="B664" s="1"/>
      <c r="C664" s="2"/>
      <c r="D664" s="2"/>
      <c r="E664" s="2"/>
      <c r="F664" s="2"/>
      <c r="G664" s="2"/>
      <c r="H664" s="2"/>
      <c r="I664" s="2"/>
      <c r="J664" s="2"/>
      <c r="K664" s="2"/>
      <c r="L664" s="2"/>
      <c r="M664" s="2"/>
      <c r="N664" s="1"/>
      <c r="O664" s="2"/>
      <c r="P664" s="2"/>
      <c r="Q664" s="2"/>
      <c r="R664" s="2"/>
      <c r="S664" s="2"/>
      <c r="T664" s="2"/>
      <c r="U664" s="2"/>
      <c r="V664" s="2"/>
      <c r="W664" s="2"/>
      <c r="X664" s="2"/>
      <c r="Y664" s="2"/>
      <c r="Z664" s="1"/>
      <c r="AA664" s="1"/>
      <c r="AB664" s="1"/>
      <c r="AC664" s="1"/>
      <c r="AD664" s="1"/>
      <c r="AE664" s="1"/>
      <c r="AF664" s="1"/>
      <c r="AG664" s="1"/>
      <c r="AH664" s="1"/>
      <c r="AI664" s="1"/>
      <c r="AJ664" s="1"/>
      <c r="AK664" s="1"/>
    </row>
    <row r="665" ht="30.0" customHeight="1">
      <c r="A665" s="1"/>
      <c r="B665" s="1"/>
      <c r="C665" s="2"/>
      <c r="D665" s="2"/>
      <c r="E665" s="2"/>
      <c r="F665" s="2"/>
      <c r="G665" s="2"/>
      <c r="H665" s="2"/>
      <c r="I665" s="2"/>
      <c r="J665" s="2"/>
      <c r="K665" s="2"/>
      <c r="L665" s="2"/>
      <c r="M665" s="2"/>
      <c r="N665" s="1"/>
      <c r="O665" s="2"/>
      <c r="P665" s="2"/>
      <c r="Q665" s="2"/>
      <c r="R665" s="2"/>
      <c r="S665" s="2"/>
      <c r="T665" s="2"/>
      <c r="U665" s="2"/>
      <c r="V665" s="2"/>
      <c r="W665" s="2"/>
      <c r="X665" s="2"/>
      <c r="Y665" s="2"/>
      <c r="Z665" s="1"/>
      <c r="AA665" s="1"/>
      <c r="AB665" s="1"/>
      <c r="AC665" s="1"/>
      <c r="AD665" s="1"/>
      <c r="AE665" s="1"/>
      <c r="AF665" s="1"/>
      <c r="AG665" s="1"/>
      <c r="AH665" s="1"/>
      <c r="AI665" s="1"/>
      <c r="AJ665" s="1"/>
      <c r="AK665" s="1"/>
    </row>
    <row r="666" ht="30.0" customHeight="1">
      <c r="A666" s="1"/>
      <c r="B666" s="1"/>
      <c r="C666" s="2"/>
      <c r="D666" s="2"/>
      <c r="E666" s="2"/>
      <c r="F666" s="2"/>
      <c r="G666" s="2"/>
      <c r="H666" s="2"/>
      <c r="I666" s="2"/>
      <c r="J666" s="2"/>
      <c r="K666" s="2"/>
      <c r="L666" s="2"/>
      <c r="M666" s="2"/>
      <c r="N666" s="1"/>
      <c r="O666" s="2"/>
      <c r="P666" s="2"/>
      <c r="Q666" s="2"/>
      <c r="R666" s="2"/>
      <c r="S666" s="2"/>
      <c r="T666" s="2"/>
      <c r="U666" s="2"/>
      <c r="V666" s="2"/>
      <c r="W666" s="2"/>
      <c r="X666" s="2"/>
      <c r="Y666" s="2"/>
      <c r="Z666" s="1"/>
      <c r="AA666" s="1"/>
      <c r="AB666" s="1"/>
      <c r="AC666" s="1"/>
      <c r="AD666" s="1"/>
      <c r="AE666" s="1"/>
      <c r="AF666" s="1"/>
      <c r="AG666" s="1"/>
      <c r="AH666" s="1"/>
      <c r="AI666" s="1"/>
      <c r="AJ666" s="1"/>
      <c r="AK666" s="1"/>
    </row>
    <row r="667" ht="30.0" customHeight="1">
      <c r="A667" s="1"/>
      <c r="B667" s="1"/>
      <c r="C667" s="2"/>
      <c r="D667" s="2"/>
      <c r="E667" s="2"/>
      <c r="F667" s="2"/>
      <c r="G667" s="2"/>
      <c r="H667" s="2"/>
      <c r="I667" s="2"/>
      <c r="J667" s="2"/>
      <c r="K667" s="2"/>
      <c r="L667" s="2"/>
      <c r="M667" s="2"/>
      <c r="N667" s="1"/>
      <c r="O667" s="2"/>
      <c r="P667" s="2"/>
      <c r="Q667" s="2"/>
      <c r="R667" s="2"/>
      <c r="S667" s="2"/>
      <c r="T667" s="2"/>
      <c r="U667" s="2"/>
      <c r="V667" s="2"/>
      <c r="W667" s="2"/>
      <c r="X667" s="2"/>
      <c r="Y667" s="2"/>
      <c r="Z667" s="1"/>
      <c r="AA667" s="1"/>
      <c r="AB667" s="1"/>
      <c r="AC667" s="1"/>
      <c r="AD667" s="1"/>
      <c r="AE667" s="1"/>
      <c r="AF667" s="1"/>
      <c r="AG667" s="1"/>
      <c r="AH667" s="1"/>
      <c r="AI667" s="1"/>
      <c r="AJ667" s="1"/>
      <c r="AK667" s="1"/>
    </row>
    <row r="668" ht="30.0" customHeight="1">
      <c r="A668" s="1"/>
      <c r="B668" s="1"/>
      <c r="C668" s="2"/>
      <c r="D668" s="2"/>
      <c r="E668" s="2"/>
      <c r="F668" s="2"/>
      <c r="G668" s="2"/>
      <c r="H668" s="2"/>
      <c r="I668" s="2"/>
      <c r="J668" s="2"/>
      <c r="K668" s="2"/>
      <c r="L668" s="2"/>
      <c r="M668" s="2"/>
      <c r="N668" s="1"/>
      <c r="O668" s="2"/>
      <c r="P668" s="2"/>
      <c r="Q668" s="2"/>
      <c r="R668" s="2"/>
      <c r="S668" s="2"/>
      <c r="T668" s="2"/>
      <c r="U668" s="2"/>
      <c r="V668" s="2"/>
      <c r="W668" s="2"/>
      <c r="X668" s="2"/>
      <c r="Y668" s="2"/>
      <c r="Z668" s="1"/>
      <c r="AA668" s="1"/>
      <c r="AB668" s="1"/>
      <c r="AC668" s="1"/>
      <c r="AD668" s="1"/>
      <c r="AE668" s="1"/>
      <c r="AF668" s="1"/>
      <c r="AG668" s="1"/>
      <c r="AH668" s="1"/>
      <c r="AI668" s="1"/>
      <c r="AJ668" s="1"/>
      <c r="AK668" s="1"/>
    </row>
    <row r="669" ht="30.0" customHeight="1">
      <c r="A669" s="1"/>
      <c r="B669" s="1"/>
      <c r="C669" s="2"/>
      <c r="D669" s="2"/>
      <c r="E669" s="2"/>
      <c r="F669" s="2"/>
      <c r="G669" s="2"/>
      <c r="H669" s="2"/>
      <c r="I669" s="2"/>
      <c r="J669" s="2"/>
      <c r="K669" s="2"/>
      <c r="L669" s="2"/>
      <c r="M669" s="2"/>
      <c r="N669" s="1"/>
      <c r="O669" s="2"/>
      <c r="P669" s="2"/>
      <c r="Q669" s="2"/>
      <c r="R669" s="2"/>
      <c r="S669" s="2"/>
      <c r="T669" s="2"/>
      <c r="U669" s="2"/>
      <c r="V669" s="2"/>
      <c r="W669" s="2"/>
      <c r="X669" s="2"/>
      <c r="Y669" s="2"/>
      <c r="Z669" s="1"/>
      <c r="AA669" s="1"/>
      <c r="AB669" s="1"/>
      <c r="AC669" s="1"/>
      <c r="AD669" s="1"/>
      <c r="AE669" s="1"/>
      <c r="AF669" s="1"/>
      <c r="AG669" s="1"/>
      <c r="AH669" s="1"/>
      <c r="AI669" s="1"/>
      <c r="AJ669" s="1"/>
      <c r="AK669" s="1"/>
    </row>
    <row r="670" ht="30.0" customHeight="1">
      <c r="A670" s="1"/>
      <c r="B670" s="1"/>
      <c r="C670" s="2"/>
      <c r="D670" s="2"/>
      <c r="E670" s="2"/>
      <c r="F670" s="2"/>
      <c r="G670" s="2"/>
      <c r="H670" s="2"/>
      <c r="I670" s="2"/>
      <c r="J670" s="2"/>
      <c r="K670" s="2"/>
      <c r="L670" s="2"/>
      <c r="M670" s="2"/>
      <c r="N670" s="1"/>
      <c r="O670" s="2"/>
      <c r="P670" s="2"/>
      <c r="Q670" s="2"/>
      <c r="R670" s="2"/>
      <c r="S670" s="2"/>
      <c r="T670" s="2"/>
      <c r="U670" s="2"/>
      <c r="V670" s="2"/>
      <c r="W670" s="2"/>
      <c r="X670" s="2"/>
      <c r="Y670" s="2"/>
      <c r="Z670" s="1"/>
      <c r="AA670" s="1"/>
      <c r="AB670" s="1"/>
      <c r="AC670" s="1"/>
      <c r="AD670" s="1"/>
      <c r="AE670" s="1"/>
      <c r="AF670" s="1"/>
      <c r="AG670" s="1"/>
      <c r="AH670" s="1"/>
      <c r="AI670" s="1"/>
      <c r="AJ670" s="1"/>
      <c r="AK670" s="1"/>
    </row>
    <row r="671" ht="30.0" customHeight="1">
      <c r="A671" s="1"/>
      <c r="B671" s="1"/>
      <c r="C671" s="2"/>
      <c r="D671" s="2"/>
      <c r="E671" s="2"/>
      <c r="F671" s="2"/>
      <c r="G671" s="2"/>
      <c r="H671" s="2"/>
      <c r="I671" s="2"/>
      <c r="J671" s="2"/>
      <c r="K671" s="2"/>
      <c r="L671" s="2"/>
      <c r="M671" s="2"/>
      <c r="N671" s="1"/>
      <c r="O671" s="2"/>
      <c r="P671" s="2"/>
      <c r="Q671" s="2"/>
      <c r="R671" s="2"/>
      <c r="S671" s="2"/>
      <c r="T671" s="2"/>
      <c r="U671" s="2"/>
      <c r="V671" s="2"/>
      <c r="W671" s="2"/>
      <c r="X671" s="2"/>
      <c r="Y671" s="2"/>
      <c r="Z671" s="1"/>
      <c r="AA671" s="1"/>
      <c r="AB671" s="1"/>
      <c r="AC671" s="1"/>
      <c r="AD671" s="1"/>
      <c r="AE671" s="1"/>
      <c r="AF671" s="1"/>
      <c r="AG671" s="1"/>
      <c r="AH671" s="1"/>
      <c r="AI671" s="1"/>
      <c r="AJ671" s="1"/>
      <c r="AK671" s="1"/>
    </row>
    <row r="672" ht="30.0" customHeight="1">
      <c r="A672" s="1"/>
      <c r="B672" s="1"/>
      <c r="C672" s="2"/>
      <c r="D672" s="2"/>
      <c r="E672" s="2"/>
      <c r="F672" s="2"/>
      <c r="G672" s="2"/>
      <c r="H672" s="2"/>
      <c r="I672" s="2"/>
      <c r="J672" s="2"/>
      <c r="K672" s="2"/>
      <c r="L672" s="2"/>
      <c r="M672" s="2"/>
      <c r="N672" s="1"/>
      <c r="O672" s="2"/>
      <c r="P672" s="2"/>
      <c r="Q672" s="2"/>
      <c r="R672" s="2"/>
      <c r="S672" s="2"/>
      <c r="T672" s="2"/>
      <c r="U672" s="2"/>
      <c r="V672" s="2"/>
      <c r="W672" s="2"/>
      <c r="X672" s="2"/>
      <c r="Y672" s="2"/>
      <c r="Z672" s="1"/>
      <c r="AA672" s="1"/>
      <c r="AB672" s="1"/>
      <c r="AC672" s="1"/>
      <c r="AD672" s="1"/>
      <c r="AE672" s="1"/>
      <c r="AF672" s="1"/>
      <c r="AG672" s="1"/>
      <c r="AH672" s="1"/>
      <c r="AI672" s="1"/>
      <c r="AJ672" s="1"/>
      <c r="AK672" s="1"/>
    </row>
    <row r="673" ht="30.0" customHeight="1">
      <c r="A673" s="1"/>
      <c r="B673" s="1"/>
      <c r="C673" s="2"/>
      <c r="D673" s="2"/>
      <c r="E673" s="2"/>
      <c r="F673" s="2"/>
      <c r="G673" s="2"/>
      <c r="H673" s="2"/>
      <c r="I673" s="2"/>
      <c r="J673" s="2"/>
      <c r="K673" s="2"/>
      <c r="L673" s="2"/>
      <c r="M673" s="2"/>
      <c r="N673" s="1"/>
      <c r="O673" s="2"/>
      <c r="P673" s="2"/>
      <c r="Q673" s="2"/>
      <c r="R673" s="2"/>
      <c r="S673" s="2"/>
      <c r="T673" s="2"/>
      <c r="U673" s="2"/>
      <c r="V673" s="2"/>
      <c r="W673" s="2"/>
      <c r="X673" s="2"/>
      <c r="Y673" s="2"/>
      <c r="Z673" s="1"/>
      <c r="AA673" s="1"/>
      <c r="AB673" s="1"/>
      <c r="AC673" s="1"/>
      <c r="AD673" s="1"/>
      <c r="AE673" s="1"/>
      <c r="AF673" s="1"/>
      <c r="AG673" s="1"/>
      <c r="AH673" s="1"/>
      <c r="AI673" s="1"/>
      <c r="AJ673" s="1"/>
      <c r="AK673" s="1"/>
    </row>
    <row r="674" ht="30.0" customHeight="1">
      <c r="A674" s="1"/>
      <c r="B674" s="1"/>
      <c r="C674" s="2"/>
      <c r="D674" s="2"/>
      <c r="E674" s="2"/>
      <c r="F674" s="2"/>
      <c r="G674" s="2"/>
      <c r="H674" s="2"/>
      <c r="I674" s="2"/>
      <c r="J674" s="2"/>
      <c r="K674" s="2"/>
      <c r="L674" s="2"/>
      <c r="M674" s="2"/>
      <c r="N674" s="1"/>
      <c r="O674" s="2"/>
      <c r="P674" s="2"/>
      <c r="Q674" s="2"/>
      <c r="R674" s="2"/>
      <c r="S674" s="2"/>
      <c r="T674" s="2"/>
      <c r="U674" s="2"/>
      <c r="V674" s="2"/>
      <c r="W674" s="2"/>
      <c r="X674" s="2"/>
      <c r="Y674" s="2"/>
      <c r="Z674" s="1"/>
      <c r="AA674" s="1"/>
      <c r="AB674" s="1"/>
      <c r="AC674" s="1"/>
      <c r="AD674" s="1"/>
      <c r="AE674" s="1"/>
      <c r="AF674" s="1"/>
      <c r="AG674" s="1"/>
      <c r="AH674" s="1"/>
      <c r="AI674" s="1"/>
      <c r="AJ674" s="1"/>
      <c r="AK674" s="1"/>
    </row>
    <row r="675" ht="30.0" customHeight="1">
      <c r="A675" s="1"/>
      <c r="B675" s="1"/>
      <c r="C675" s="2"/>
      <c r="D675" s="2"/>
      <c r="E675" s="2"/>
      <c r="F675" s="2"/>
      <c r="G675" s="2"/>
      <c r="H675" s="2"/>
      <c r="I675" s="2"/>
      <c r="J675" s="2"/>
      <c r="K675" s="2"/>
      <c r="L675" s="2"/>
      <c r="M675" s="2"/>
      <c r="N675" s="1"/>
      <c r="O675" s="2"/>
      <c r="P675" s="2"/>
      <c r="Q675" s="2"/>
      <c r="R675" s="2"/>
      <c r="S675" s="2"/>
      <c r="T675" s="2"/>
      <c r="U675" s="2"/>
      <c r="V675" s="2"/>
      <c r="W675" s="2"/>
      <c r="X675" s="2"/>
      <c r="Y675" s="2"/>
      <c r="Z675" s="1"/>
      <c r="AA675" s="1"/>
      <c r="AB675" s="1"/>
      <c r="AC675" s="1"/>
      <c r="AD675" s="1"/>
      <c r="AE675" s="1"/>
      <c r="AF675" s="1"/>
      <c r="AG675" s="1"/>
      <c r="AH675" s="1"/>
      <c r="AI675" s="1"/>
      <c r="AJ675" s="1"/>
      <c r="AK675" s="1"/>
    </row>
    <row r="676" ht="30.0" customHeight="1">
      <c r="A676" s="1"/>
      <c r="B676" s="1"/>
      <c r="C676" s="2"/>
      <c r="D676" s="2"/>
      <c r="E676" s="2"/>
      <c r="F676" s="2"/>
      <c r="G676" s="2"/>
      <c r="H676" s="2"/>
      <c r="I676" s="2"/>
      <c r="J676" s="2"/>
      <c r="K676" s="2"/>
      <c r="L676" s="2"/>
      <c r="M676" s="2"/>
      <c r="N676" s="1"/>
      <c r="O676" s="2"/>
      <c r="P676" s="2"/>
      <c r="Q676" s="2"/>
      <c r="R676" s="2"/>
      <c r="S676" s="2"/>
      <c r="T676" s="2"/>
      <c r="U676" s="2"/>
      <c r="V676" s="2"/>
      <c r="W676" s="2"/>
      <c r="X676" s="2"/>
      <c r="Y676" s="2"/>
      <c r="Z676" s="1"/>
      <c r="AA676" s="1"/>
      <c r="AB676" s="1"/>
      <c r="AC676" s="1"/>
      <c r="AD676" s="1"/>
      <c r="AE676" s="1"/>
      <c r="AF676" s="1"/>
      <c r="AG676" s="1"/>
      <c r="AH676" s="1"/>
      <c r="AI676" s="1"/>
      <c r="AJ676" s="1"/>
      <c r="AK676" s="1"/>
    </row>
    <row r="677" ht="30.0" customHeight="1">
      <c r="A677" s="1"/>
      <c r="B677" s="1"/>
      <c r="C677" s="2"/>
      <c r="D677" s="2"/>
      <c r="E677" s="2"/>
      <c r="F677" s="2"/>
      <c r="G677" s="2"/>
      <c r="H677" s="2"/>
      <c r="I677" s="2"/>
      <c r="J677" s="2"/>
      <c r="K677" s="2"/>
      <c r="L677" s="2"/>
      <c r="M677" s="2"/>
      <c r="N677" s="1"/>
      <c r="O677" s="2"/>
      <c r="P677" s="2"/>
      <c r="Q677" s="2"/>
      <c r="R677" s="2"/>
      <c r="S677" s="2"/>
      <c r="T677" s="2"/>
      <c r="U677" s="2"/>
      <c r="V677" s="2"/>
      <c r="W677" s="2"/>
      <c r="X677" s="2"/>
      <c r="Y677" s="2"/>
      <c r="Z677" s="1"/>
      <c r="AA677" s="1"/>
      <c r="AB677" s="1"/>
      <c r="AC677" s="1"/>
      <c r="AD677" s="1"/>
      <c r="AE677" s="1"/>
      <c r="AF677" s="1"/>
      <c r="AG677" s="1"/>
      <c r="AH677" s="1"/>
      <c r="AI677" s="1"/>
      <c r="AJ677" s="1"/>
      <c r="AK677" s="1"/>
    </row>
    <row r="678" ht="30.0" customHeight="1">
      <c r="A678" s="1"/>
      <c r="B678" s="1"/>
      <c r="C678" s="2"/>
      <c r="D678" s="2"/>
      <c r="E678" s="2"/>
      <c r="F678" s="2"/>
      <c r="G678" s="2"/>
      <c r="H678" s="2"/>
      <c r="I678" s="2"/>
      <c r="J678" s="2"/>
      <c r="K678" s="2"/>
      <c r="L678" s="2"/>
      <c r="M678" s="2"/>
      <c r="N678" s="1"/>
      <c r="O678" s="2"/>
      <c r="P678" s="2"/>
      <c r="Q678" s="2"/>
      <c r="R678" s="2"/>
      <c r="S678" s="2"/>
      <c r="T678" s="2"/>
      <c r="U678" s="2"/>
      <c r="V678" s="2"/>
      <c r="W678" s="2"/>
      <c r="X678" s="2"/>
      <c r="Y678" s="2"/>
      <c r="Z678" s="1"/>
      <c r="AA678" s="1"/>
      <c r="AB678" s="1"/>
      <c r="AC678" s="1"/>
      <c r="AD678" s="1"/>
      <c r="AE678" s="1"/>
      <c r="AF678" s="1"/>
      <c r="AG678" s="1"/>
      <c r="AH678" s="1"/>
      <c r="AI678" s="1"/>
      <c r="AJ678" s="1"/>
      <c r="AK678" s="1"/>
    </row>
    <row r="679" ht="30.0" customHeight="1">
      <c r="A679" s="1"/>
      <c r="B679" s="1"/>
      <c r="C679" s="2"/>
      <c r="D679" s="2"/>
      <c r="E679" s="2"/>
      <c r="F679" s="2"/>
      <c r="G679" s="2"/>
      <c r="H679" s="2"/>
      <c r="I679" s="2"/>
      <c r="J679" s="2"/>
      <c r="K679" s="2"/>
      <c r="L679" s="2"/>
      <c r="M679" s="2"/>
      <c r="N679" s="1"/>
      <c r="O679" s="2"/>
      <c r="P679" s="2"/>
      <c r="Q679" s="2"/>
      <c r="R679" s="2"/>
      <c r="S679" s="2"/>
      <c r="T679" s="2"/>
      <c r="U679" s="2"/>
      <c r="V679" s="2"/>
      <c r="W679" s="2"/>
      <c r="X679" s="2"/>
      <c r="Y679" s="2"/>
      <c r="Z679" s="1"/>
      <c r="AA679" s="1"/>
      <c r="AB679" s="1"/>
      <c r="AC679" s="1"/>
      <c r="AD679" s="1"/>
      <c r="AE679" s="1"/>
      <c r="AF679" s="1"/>
      <c r="AG679" s="1"/>
      <c r="AH679" s="1"/>
      <c r="AI679" s="1"/>
      <c r="AJ679" s="1"/>
      <c r="AK679" s="1"/>
    </row>
    <row r="680" ht="30.0" customHeight="1">
      <c r="A680" s="1"/>
      <c r="B680" s="1"/>
      <c r="C680" s="2"/>
      <c r="D680" s="2"/>
      <c r="E680" s="2"/>
      <c r="F680" s="2"/>
      <c r="G680" s="2"/>
      <c r="H680" s="2"/>
      <c r="I680" s="2"/>
      <c r="J680" s="2"/>
      <c r="K680" s="2"/>
      <c r="L680" s="2"/>
      <c r="M680" s="2"/>
      <c r="N680" s="1"/>
      <c r="O680" s="2"/>
      <c r="P680" s="2"/>
      <c r="Q680" s="2"/>
      <c r="R680" s="2"/>
      <c r="S680" s="2"/>
      <c r="T680" s="2"/>
      <c r="U680" s="2"/>
      <c r="V680" s="2"/>
      <c r="W680" s="2"/>
      <c r="X680" s="2"/>
      <c r="Y680" s="2"/>
      <c r="Z680" s="1"/>
      <c r="AA680" s="1"/>
      <c r="AB680" s="1"/>
      <c r="AC680" s="1"/>
      <c r="AD680" s="1"/>
      <c r="AE680" s="1"/>
      <c r="AF680" s="1"/>
      <c r="AG680" s="1"/>
      <c r="AH680" s="1"/>
      <c r="AI680" s="1"/>
      <c r="AJ680" s="1"/>
      <c r="AK680" s="1"/>
    </row>
    <row r="681" ht="30.0" customHeight="1">
      <c r="A681" s="1"/>
      <c r="B681" s="1"/>
      <c r="C681" s="2"/>
      <c r="D681" s="2"/>
      <c r="E681" s="2"/>
      <c r="F681" s="2"/>
      <c r="G681" s="2"/>
      <c r="H681" s="2"/>
      <c r="I681" s="2"/>
      <c r="J681" s="2"/>
      <c r="K681" s="2"/>
      <c r="L681" s="2"/>
      <c r="M681" s="2"/>
      <c r="N681" s="1"/>
      <c r="O681" s="2"/>
      <c r="P681" s="2"/>
      <c r="Q681" s="2"/>
      <c r="R681" s="2"/>
      <c r="S681" s="2"/>
      <c r="T681" s="2"/>
      <c r="U681" s="2"/>
      <c r="V681" s="2"/>
      <c r="W681" s="2"/>
      <c r="X681" s="2"/>
      <c r="Y681" s="2"/>
      <c r="Z681" s="1"/>
      <c r="AA681" s="1"/>
      <c r="AB681" s="1"/>
      <c r="AC681" s="1"/>
      <c r="AD681" s="1"/>
      <c r="AE681" s="1"/>
      <c r="AF681" s="1"/>
      <c r="AG681" s="1"/>
      <c r="AH681" s="1"/>
      <c r="AI681" s="1"/>
      <c r="AJ681" s="1"/>
      <c r="AK681" s="1"/>
    </row>
    <row r="682" ht="30.0" customHeight="1">
      <c r="A682" s="1"/>
      <c r="B682" s="1"/>
      <c r="C682" s="2"/>
      <c r="D682" s="2"/>
      <c r="E682" s="2"/>
      <c r="F682" s="2"/>
      <c r="G682" s="2"/>
      <c r="H682" s="2"/>
      <c r="I682" s="2"/>
      <c r="J682" s="2"/>
      <c r="K682" s="2"/>
      <c r="L682" s="2"/>
      <c r="M682" s="2"/>
      <c r="N682" s="1"/>
      <c r="O682" s="2"/>
      <c r="P682" s="2"/>
      <c r="Q682" s="2"/>
      <c r="R682" s="2"/>
      <c r="S682" s="2"/>
      <c r="T682" s="2"/>
      <c r="U682" s="2"/>
      <c r="V682" s="2"/>
      <c r="W682" s="2"/>
      <c r="X682" s="2"/>
      <c r="Y682" s="2"/>
      <c r="Z682" s="1"/>
      <c r="AA682" s="1"/>
      <c r="AB682" s="1"/>
      <c r="AC682" s="1"/>
      <c r="AD682" s="1"/>
      <c r="AE682" s="1"/>
      <c r="AF682" s="1"/>
      <c r="AG682" s="1"/>
      <c r="AH682" s="1"/>
      <c r="AI682" s="1"/>
      <c r="AJ682" s="1"/>
      <c r="AK682" s="1"/>
    </row>
    <row r="683" ht="30.0" customHeight="1">
      <c r="A683" s="1"/>
      <c r="B683" s="1"/>
      <c r="C683" s="2"/>
      <c r="D683" s="2"/>
      <c r="E683" s="2"/>
      <c r="F683" s="2"/>
      <c r="G683" s="2"/>
      <c r="H683" s="2"/>
      <c r="I683" s="2"/>
      <c r="J683" s="2"/>
      <c r="K683" s="2"/>
      <c r="L683" s="2"/>
      <c r="M683" s="2"/>
      <c r="N683" s="1"/>
      <c r="O683" s="2"/>
      <c r="P683" s="2"/>
      <c r="Q683" s="2"/>
      <c r="R683" s="2"/>
      <c r="S683" s="2"/>
      <c r="T683" s="2"/>
      <c r="U683" s="2"/>
      <c r="V683" s="2"/>
      <c r="W683" s="2"/>
      <c r="X683" s="2"/>
      <c r="Y683" s="2"/>
      <c r="Z683" s="1"/>
      <c r="AA683" s="1"/>
      <c r="AB683" s="1"/>
      <c r="AC683" s="1"/>
      <c r="AD683" s="1"/>
      <c r="AE683" s="1"/>
      <c r="AF683" s="1"/>
      <c r="AG683" s="1"/>
      <c r="AH683" s="1"/>
      <c r="AI683" s="1"/>
      <c r="AJ683" s="1"/>
      <c r="AK683" s="1"/>
    </row>
    <row r="684" ht="30.0" customHeight="1">
      <c r="A684" s="1"/>
      <c r="B684" s="1"/>
      <c r="C684" s="2"/>
      <c r="D684" s="2"/>
      <c r="E684" s="2"/>
      <c r="F684" s="2"/>
      <c r="G684" s="2"/>
      <c r="H684" s="2"/>
      <c r="I684" s="2"/>
      <c r="J684" s="2"/>
      <c r="K684" s="2"/>
      <c r="L684" s="2"/>
      <c r="M684" s="2"/>
      <c r="N684" s="1"/>
      <c r="O684" s="2"/>
      <c r="P684" s="2"/>
      <c r="Q684" s="2"/>
      <c r="R684" s="2"/>
      <c r="S684" s="2"/>
      <c r="T684" s="2"/>
      <c r="U684" s="2"/>
      <c r="V684" s="2"/>
      <c r="W684" s="2"/>
      <c r="X684" s="2"/>
      <c r="Y684" s="2"/>
      <c r="Z684" s="1"/>
      <c r="AA684" s="1"/>
      <c r="AB684" s="1"/>
      <c r="AC684" s="1"/>
      <c r="AD684" s="1"/>
      <c r="AE684" s="1"/>
      <c r="AF684" s="1"/>
      <c r="AG684" s="1"/>
      <c r="AH684" s="1"/>
      <c r="AI684" s="1"/>
      <c r="AJ684" s="1"/>
      <c r="AK684" s="1"/>
    </row>
    <row r="685" ht="30.0" customHeight="1">
      <c r="A685" s="1"/>
      <c r="B685" s="1"/>
      <c r="C685" s="2"/>
      <c r="D685" s="2"/>
      <c r="E685" s="2"/>
      <c r="F685" s="2"/>
      <c r="G685" s="2"/>
      <c r="H685" s="2"/>
      <c r="I685" s="2"/>
      <c r="J685" s="2"/>
      <c r="K685" s="2"/>
      <c r="L685" s="2"/>
      <c r="M685" s="2"/>
      <c r="N685" s="1"/>
      <c r="O685" s="2"/>
      <c r="P685" s="2"/>
      <c r="Q685" s="2"/>
      <c r="R685" s="2"/>
      <c r="S685" s="2"/>
      <c r="T685" s="2"/>
      <c r="U685" s="2"/>
      <c r="V685" s="2"/>
      <c r="W685" s="2"/>
      <c r="X685" s="2"/>
      <c r="Y685" s="2"/>
      <c r="Z685" s="1"/>
      <c r="AA685" s="1"/>
      <c r="AB685" s="1"/>
      <c r="AC685" s="1"/>
      <c r="AD685" s="1"/>
      <c r="AE685" s="1"/>
      <c r="AF685" s="1"/>
      <c r="AG685" s="1"/>
      <c r="AH685" s="1"/>
      <c r="AI685" s="1"/>
      <c r="AJ685" s="1"/>
      <c r="AK685" s="1"/>
    </row>
    <row r="686" ht="30.0" customHeight="1">
      <c r="A686" s="1"/>
      <c r="B686" s="1"/>
      <c r="C686" s="2"/>
      <c r="D686" s="2"/>
      <c r="E686" s="2"/>
      <c r="F686" s="2"/>
      <c r="G686" s="2"/>
      <c r="H686" s="2"/>
      <c r="I686" s="2"/>
      <c r="J686" s="2"/>
      <c r="K686" s="2"/>
      <c r="L686" s="2"/>
      <c r="M686" s="2"/>
      <c r="N686" s="1"/>
      <c r="O686" s="2"/>
      <c r="P686" s="2"/>
      <c r="Q686" s="2"/>
      <c r="R686" s="2"/>
      <c r="S686" s="2"/>
      <c r="T686" s="2"/>
      <c r="U686" s="2"/>
      <c r="V686" s="2"/>
      <c r="W686" s="2"/>
      <c r="X686" s="2"/>
      <c r="Y686" s="2"/>
      <c r="Z686" s="1"/>
      <c r="AA686" s="1"/>
      <c r="AB686" s="1"/>
      <c r="AC686" s="1"/>
      <c r="AD686" s="1"/>
      <c r="AE686" s="1"/>
      <c r="AF686" s="1"/>
      <c r="AG686" s="1"/>
      <c r="AH686" s="1"/>
      <c r="AI686" s="1"/>
      <c r="AJ686" s="1"/>
      <c r="AK686" s="1"/>
    </row>
    <row r="687" ht="30.0" customHeight="1">
      <c r="A687" s="1"/>
      <c r="B687" s="1"/>
      <c r="C687" s="2"/>
      <c r="D687" s="2"/>
      <c r="E687" s="2"/>
      <c r="F687" s="2"/>
      <c r="G687" s="2"/>
      <c r="H687" s="2"/>
      <c r="I687" s="2"/>
      <c r="J687" s="2"/>
      <c r="K687" s="2"/>
      <c r="L687" s="2"/>
      <c r="M687" s="2"/>
      <c r="N687" s="1"/>
      <c r="O687" s="2"/>
      <c r="P687" s="2"/>
      <c r="Q687" s="2"/>
      <c r="R687" s="2"/>
      <c r="S687" s="2"/>
      <c r="T687" s="2"/>
      <c r="U687" s="2"/>
      <c r="V687" s="2"/>
      <c r="W687" s="2"/>
      <c r="X687" s="2"/>
      <c r="Y687" s="2"/>
      <c r="Z687" s="1"/>
      <c r="AA687" s="1"/>
      <c r="AB687" s="1"/>
      <c r="AC687" s="1"/>
      <c r="AD687" s="1"/>
      <c r="AE687" s="1"/>
      <c r="AF687" s="1"/>
      <c r="AG687" s="1"/>
      <c r="AH687" s="1"/>
      <c r="AI687" s="1"/>
      <c r="AJ687" s="1"/>
      <c r="AK687" s="1"/>
    </row>
    <row r="688" ht="30.0" customHeight="1">
      <c r="A688" s="1"/>
      <c r="B688" s="1"/>
      <c r="C688" s="2"/>
      <c r="D688" s="2"/>
      <c r="E688" s="2"/>
      <c r="F688" s="2"/>
      <c r="G688" s="2"/>
      <c r="H688" s="2"/>
      <c r="I688" s="2"/>
      <c r="J688" s="2"/>
      <c r="K688" s="2"/>
      <c r="L688" s="2"/>
      <c r="M688" s="2"/>
      <c r="N688" s="1"/>
      <c r="O688" s="2"/>
      <c r="P688" s="2"/>
      <c r="Q688" s="2"/>
      <c r="R688" s="2"/>
      <c r="S688" s="2"/>
      <c r="T688" s="2"/>
      <c r="U688" s="2"/>
      <c r="V688" s="2"/>
      <c r="W688" s="2"/>
      <c r="X688" s="2"/>
      <c r="Y688" s="2"/>
      <c r="Z688" s="1"/>
      <c r="AA688" s="1"/>
      <c r="AB688" s="1"/>
      <c r="AC688" s="1"/>
      <c r="AD688" s="1"/>
      <c r="AE688" s="1"/>
      <c r="AF688" s="1"/>
      <c r="AG688" s="1"/>
      <c r="AH688" s="1"/>
      <c r="AI688" s="1"/>
      <c r="AJ688" s="1"/>
      <c r="AK688" s="1"/>
    </row>
    <row r="689" ht="30.0" customHeight="1">
      <c r="A689" s="1"/>
      <c r="B689" s="1"/>
      <c r="C689" s="2"/>
      <c r="D689" s="2"/>
      <c r="E689" s="2"/>
      <c r="F689" s="2"/>
      <c r="G689" s="2"/>
      <c r="H689" s="2"/>
      <c r="I689" s="2"/>
      <c r="J689" s="2"/>
      <c r="K689" s="2"/>
      <c r="L689" s="2"/>
      <c r="M689" s="2"/>
      <c r="N689" s="1"/>
      <c r="O689" s="2"/>
      <c r="P689" s="2"/>
      <c r="Q689" s="2"/>
      <c r="R689" s="2"/>
      <c r="S689" s="2"/>
      <c r="T689" s="2"/>
      <c r="U689" s="2"/>
      <c r="V689" s="2"/>
      <c r="W689" s="2"/>
      <c r="X689" s="2"/>
      <c r="Y689" s="2"/>
      <c r="Z689" s="1"/>
      <c r="AA689" s="1"/>
      <c r="AB689" s="1"/>
      <c r="AC689" s="1"/>
      <c r="AD689" s="1"/>
      <c r="AE689" s="1"/>
      <c r="AF689" s="1"/>
      <c r="AG689" s="1"/>
      <c r="AH689" s="1"/>
      <c r="AI689" s="1"/>
      <c r="AJ689" s="1"/>
      <c r="AK689" s="1"/>
    </row>
    <row r="690" ht="30.0" customHeight="1">
      <c r="A690" s="1"/>
      <c r="B690" s="1"/>
      <c r="C690" s="2"/>
      <c r="D690" s="2"/>
      <c r="E690" s="2"/>
      <c r="F690" s="2"/>
      <c r="G690" s="2"/>
      <c r="H690" s="2"/>
      <c r="I690" s="2"/>
      <c r="J690" s="2"/>
      <c r="K690" s="2"/>
      <c r="L690" s="2"/>
      <c r="M690" s="2"/>
      <c r="N690" s="1"/>
      <c r="O690" s="2"/>
      <c r="P690" s="2"/>
      <c r="Q690" s="2"/>
      <c r="R690" s="2"/>
      <c r="S690" s="2"/>
      <c r="T690" s="2"/>
      <c r="U690" s="2"/>
      <c r="V690" s="2"/>
      <c r="W690" s="2"/>
      <c r="X690" s="2"/>
      <c r="Y690" s="2"/>
      <c r="Z690" s="1"/>
      <c r="AA690" s="1"/>
      <c r="AB690" s="1"/>
      <c r="AC690" s="1"/>
      <c r="AD690" s="1"/>
      <c r="AE690" s="1"/>
      <c r="AF690" s="1"/>
      <c r="AG690" s="1"/>
      <c r="AH690" s="1"/>
      <c r="AI690" s="1"/>
      <c r="AJ690" s="1"/>
      <c r="AK690" s="1"/>
    </row>
    <row r="691" ht="30.0" customHeight="1">
      <c r="A691" s="1"/>
      <c r="B691" s="1"/>
      <c r="C691" s="2"/>
      <c r="D691" s="2"/>
      <c r="E691" s="2"/>
      <c r="F691" s="2"/>
      <c r="G691" s="2"/>
      <c r="H691" s="2"/>
      <c r="I691" s="2"/>
      <c r="J691" s="2"/>
      <c r="K691" s="2"/>
      <c r="L691" s="2"/>
      <c r="M691" s="2"/>
      <c r="N691" s="1"/>
      <c r="O691" s="2"/>
      <c r="P691" s="2"/>
      <c r="Q691" s="2"/>
      <c r="R691" s="2"/>
      <c r="S691" s="2"/>
      <c r="T691" s="2"/>
      <c r="U691" s="2"/>
      <c r="V691" s="2"/>
      <c r="W691" s="2"/>
      <c r="X691" s="2"/>
      <c r="Y691" s="2"/>
      <c r="Z691" s="1"/>
      <c r="AA691" s="1"/>
      <c r="AB691" s="1"/>
      <c r="AC691" s="1"/>
      <c r="AD691" s="1"/>
      <c r="AE691" s="1"/>
      <c r="AF691" s="1"/>
      <c r="AG691" s="1"/>
      <c r="AH691" s="1"/>
      <c r="AI691" s="1"/>
      <c r="AJ691" s="1"/>
      <c r="AK691" s="1"/>
    </row>
    <row r="692" ht="30.0" customHeight="1">
      <c r="A692" s="1"/>
      <c r="B692" s="1"/>
      <c r="C692" s="2"/>
      <c r="D692" s="2"/>
      <c r="E692" s="2"/>
      <c r="F692" s="2"/>
      <c r="G692" s="2"/>
      <c r="H692" s="2"/>
      <c r="I692" s="2"/>
      <c r="J692" s="2"/>
      <c r="K692" s="2"/>
      <c r="L692" s="2"/>
      <c r="M692" s="2"/>
      <c r="N692" s="1"/>
      <c r="O692" s="2"/>
      <c r="P692" s="2"/>
      <c r="Q692" s="2"/>
      <c r="R692" s="2"/>
      <c r="S692" s="2"/>
      <c r="T692" s="2"/>
      <c r="U692" s="2"/>
      <c r="V692" s="2"/>
      <c r="W692" s="2"/>
      <c r="X692" s="2"/>
      <c r="Y692" s="2"/>
      <c r="Z692" s="1"/>
      <c r="AA692" s="1"/>
      <c r="AB692" s="1"/>
      <c r="AC692" s="1"/>
      <c r="AD692" s="1"/>
      <c r="AE692" s="1"/>
      <c r="AF692" s="1"/>
      <c r="AG692" s="1"/>
      <c r="AH692" s="1"/>
      <c r="AI692" s="1"/>
      <c r="AJ692" s="1"/>
      <c r="AK692" s="1"/>
    </row>
    <row r="693" ht="30.0" customHeight="1">
      <c r="A693" s="1"/>
      <c r="B693" s="1"/>
      <c r="C693" s="2"/>
      <c r="D693" s="2"/>
      <c r="E693" s="2"/>
      <c r="F693" s="2"/>
      <c r="G693" s="2"/>
      <c r="H693" s="2"/>
      <c r="I693" s="2"/>
      <c r="J693" s="2"/>
      <c r="K693" s="2"/>
      <c r="L693" s="2"/>
      <c r="M693" s="2"/>
      <c r="N693" s="1"/>
      <c r="O693" s="2"/>
      <c r="P693" s="2"/>
      <c r="Q693" s="2"/>
      <c r="R693" s="2"/>
      <c r="S693" s="2"/>
      <c r="T693" s="2"/>
      <c r="U693" s="2"/>
      <c r="V693" s="2"/>
      <c r="W693" s="2"/>
      <c r="X693" s="2"/>
      <c r="Y693" s="2"/>
      <c r="Z693" s="1"/>
      <c r="AA693" s="1"/>
      <c r="AB693" s="1"/>
      <c r="AC693" s="1"/>
      <c r="AD693" s="1"/>
      <c r="AE693" s="1"/>
      <c r="AF693" s="1"/>
      <c r="AG693" s="1"/>
      <c r="AH693" s="1"/>
      <c r="AI693" s="1"/>
      <c r="AJ693" s="1"/>
      <c r="AK693" s="1"/>
    </row>
    <row r="694" ht="30.0" customHeight="1">
      <c r="A694" s="1"/>
      <c r="B694" s="1"/>
      <c r="C694" s="2"/>
      <c r="D694" s="2"/>
      <c r="E694" s="2"/>
      <c r="F694" s="2"/>
      <c r="G694" s="2"/>
      <c r="H694" s="2"/>
      <c r="I694" s="2"/>
      <c r="J694" s="2"/>
      <c r="K694" s="2"/>
      <c r="L694" s="2"/>
      <c r="M694" s="2"/>
      <c r="N694" s="1"/>
      <c r="O694" s="2"/>
      <c r="P694" s="2"/>
      <c r="Q694" s="2"/>
      <c r="R694" s="2"/>
      <c r="S694" s="2"/>
      <c r="T694" s="2"/>
      <c r="U694" s="2"/>
      <c r="V694" s="2"/>
      <c r="W694" s="2"/>
      <c r="X694" s="2"/>
      <c r="Y694" s="2"/>
      <c r="Z694" s="1"/>
      <c r="AA694" s="1"/>
      <c r="AB694" s="1"/>
      <c r="AC694" s="1"/>
      <c r="AD694" s="1"/>
      <c r="AE694" s="1"/>
      <c r="AF694" s="1"/>
      <c r="AG694" s="1"/>
      <c r="AH694" s="1"/>
      <c r="AI694" s="1"/>
      <c r="AJ694" s="1"/>
      <c r="AK694" s="1"/>
    </row>
    <row r="695" ht="30.0" customHeight="1">
      <c r="A695" s="1"/>
      <c r="B695" s="1"/>
      <c r="C695" s="2"/>
      <c r="D695" s="2"/>
      <c r="E695" s="2"/>
      <c r="F695" s="2"/>
      <c r="G695" s="2"/>
      <c r="H695" s="2"/>
      <c r="I695" s="2"/>
      <c r="J695" s="2"/>
      <c r="K695" s="2"/>
      <c r="L695" s="2"/>
      <c r="M695" s="2"/>
      <c r="N695" s="1"/>
      <c r="O695" s="2"/>
      <c r="P695" s="2"/>
      <c r="Q695" s="2"/>
      <c r="R695" s="2"/>
      <c r="S695" s="2"/>
      <c r="T695" s="2"/>
      <c r="U695" s="2"/>
      <c r="V695" s="2"/>
      <c r="W695" s="2"/>
      <c r="X695" s="2"/>
      <c r="Y695" s="2"/>
      <c r="Z695" s="1"/>
      <c r="AA695" s="1"/>
      <c r="AB695" s="1"/>
      <c r="AC695" s="1"/>
      <c r="AD695" s="1"/>
      <c r="AE695" s="1"/>
      <c r="AF695" s="1"/>
      <c r="AG695" s="1"/>
      <c r="AH695" s="1"/>
      <c r="AI695" s="1"/>
      <c r="AJ695" s="1"/>
      <c r="AK695" s="1"/>
    </row>
    <row r="696" ht="30.0" customHeight="1">
      <c r="A696" s="1"/>
      <c r="B696" s="1"/>
      <c r="C696" s="2"/>
      <c r="D696" s="2"/>
      <c r="E696" s="2"/>
      <c r="F696" s="2"/>
      <c r="G696" s="2"/>
      <c r="H696" s="2"/>
      <c r="I696" s="2"/>
      <c r="J696" s="2"/>
      <c r="K696" s="2"/>
      <c r="L696" s="2"/>
      <c r="M696" s="2"/>
      <c r="N696" s="1"/>
      <c r="O696" s="2"/>
      <c r="P696" s="2"/>
      <c r="Q696" s="2"/>
      <c r="R696" s="2"/>
      <c r="S696" s="2"/>
      <c r="T696" s="2"/>
      <c r="U696" s="2"/>
      <c r="V696" s="2"/>
      <c r="W696" s="2"/>
      <c r="X696" s="2"/>
      <c r="Y696" s="2"/>
      <c r="Z696" s="1"/>
      <c r="AA696" s="1"/>
      <c r="AB696" s="1"/>
      <c r="AC696" s="1"/>
      <c r="AD696" s="1"/>
      <c r="AE696" s="1"/>
      <c r="AF696" s="1"/>
      <c r="AG696" s="1"/>
      <c r="AH696" s="1"/>
      <c r="AI696" s="1"/>
      <c r="AJ696" s="1"/>
      <c r="AK696" s="1"/>
    </row>
    <row r="697" ht="30.0" customHeight="1">
      <c r="A697" s="1"/>
      <c r="B697" s="1"/>
      <c r="C697" s="2"/>
      <c r="D697" s="2"/>
      <c r="E697" s="2"/>
      <c r="F697" s="2"/>
      <c r="G697" s="2"/>
      <c r="H697" s="2"/>
      <c r="I697" s="2"/>
      <c r="J697" s="2"/>
      <c r="K697" s="2"/>
      <c r="L697" s="2"/>
      <c r="M697" s="2"/>
      <c r="N697" s="1"/>
      <c r="O697" s="2"/>
      <c r="P697" s="2"/>
      <c r="Q697" s="2"/>
      <c r="R697" s="2"/>
      <c r="S697" s="2"/>
      <c r="T697" s="2"/>
      <c r="U697" s="2"/>
      <c r="V697" s="2"/>
      <c r="W697" s="2"/>
      <c r="X697" s="2"/>
      <c r="Y697" s="2"/>
      <c r="Z697" s="1"/>
      <c r="AA697" s="1"/>
      <c r="AB697" s="1"/>
      <c r="AC697" s="1"/>
      <c r="AD697" s="1"/>
      <c r="AE697" s="1"/>
      <c r="AF697" s="1"/>
      <c r="AG697" s="1"/>
      <c r="AH697" s="1"/>
      <c r="AI697" s="1"/>
      <c r="AJ697" s="1"/>
      <c r="AK697" s="1"/>
    </row>
    <row r="698" ht="30.0" customHeight="1">
      <c r="A698" s="1"/>
      <c r="B698" s="1"/>
      <c r="C698" s="2"/>
      <c r="D698" s="2"/>
      <c r="E698" s="2"/>
      <c r="F698" s="2"/>
      <c r="G698" s="2"/>
      <c r="H698" s="2"/>
      <c r="I698" s="2"/>
      <c r="J698" s="2"/>
      <c r="K698" s="2"/>
      <c r="L698" s="2"/>
      <c r="M698" s="2"/>
      <c r="N698" s="1"/>
      <c r="O698" s="2"/>
      <c r="P698" s="2"/>
      <c r="Q698" s="2"/>
      <c r="R698" s="2"/>
      <c r="S698" s="2"/>
      <c r="T698" s="2"/>
      <c r="U698" s="2"/>
      <c r="V698" s="2"/>
      <c r="W698" s="2"/>
      <c r="X698" s="2"/>
      <c r="Y698" s="2"/>
      <c r="Z698" s="1"/>
      <c r="AA698" s="1"/>
      <c r="AB698" s="1"/>
      <c r="AC698" s="1"/>
      <c r="AD698" s="1"/>
      <c r="AE698" s="1"/>
      <c r="AF698" s="1"/>
      <c r="AG698" s="1"/>
      <c r="AH698" s="1"/>
      <c r="AI698" s="1"/>
      <c r="AJ698" s="1"/>
      <c r="AK698" s="1"/>
    </row>
    <row r="699" ht="30.0" customHeight="1">
      <c r="A699" s="1"/>
      <c r="B699" s="1"/>
      <c r="C699" s="2"/>
      <c r="D699" s="2"/>
      <c r="E699" s="2"/>
      <c r="F699" s="2"/>
      <c r="G699" s="2"/>
      <c r="H699" s="2"/>
      <c r="I699" s="2"/>
      <c r="J699" s="2"/>
      <c r="K699" s="2"/>
      <c r="L699" s="2"/>
      <c r="M699" s="2"/>
      <c r="N699" s="1"/>
      <c r="O699" s="2"/>
      <c r="P699" s="2"/>
      <c r="Q699" s="2"/>
      <c r="R699" s="2"/>
      <c r="S699" s="2"/>
      <c r="T699" s="2"/>
      <c r="U699" s="2"/>
      <c r="V699" s="2"/>
      <c r="W699" s="2"/>
      <c r="X699" s="2"/>
      <c r="Y699" s="2"/>
      <c r="Z699" s="1"/>
      <c r="AA699" s="1"/>
      <c r="AB699" s="1"/>
      <c r="AC699" s="1"/>
      <c r="AD699" s="1"/>
      <c r="AE699" s="1"/>
      <c r="AF699" s="1"/>
      <c r="AG699" s="1"/>
      <c r="AH699" s="1"/>
      <c r="AI699" s="1"/>
      <c r="AJ699" s="1"/>
      <c r="AK699" s="1"/>
    </row>
    <row r="700" ht="30.0" customHeight="1">
      <c r="A700" s="1"/>
      <c r="B700" s="1"/>
      <c r="C700" s="2"/>
      <c r="D700" s="2"/>
      <c r="E700" s="2"/>
      <c r="F700" s="2"/>
      <c r="G700" s="2"/>
      <c r="H700" s="2"/>
      <c r="I700" s="2"/>
      <c r="J700" s="2"/>
      <c r="K700" s="2"/>
      <c r="L700" s="2"/>
      <c r="M700" s="2"/>
      <c r="N700" s="1"/>
      <c r="O700" s="2"/>
      <c r="P700" s="2"/>
      <c r="Q700" s="2"/>
      <c r="R700" s="2"/>
      <c r="S700" s="2"/>
      <c r="T700" s="2"/>
      <c r="U700" s="2"/>
      <c r="V700" s="2"/>
      <c r="W700" s="2"/>
      <c r="X700" s="2"/>
      <c r="Y700" s="2"/>
      <c r="Z700" s="1"/>
      <c r="AA700" s="1"/>
      <c r="AB700" s="1"/>
      <c r="AC700" s="1"/>
      <c r="AD700" s="1"/>
      <c r="AE700" s="1"/>
      <c r="AF700" s="1"/>
      <c r="AG700" s="1"/>
      <c r="AH700" s="1"/>
      <c r="AI700" s="1"/>
      <c r="AJ700" s="1"/>
      <c r="AK700" s="1"/>
    </row>
    <row r="701" ht="30.0" customHeight="1">
      <c r="A701" s="1"/>
      <c r="B701" s="1"/>
      <c r="C701" s="2"/>
      <c r="D701" s="2"/>
      <c r="E701" s="2"/>
      <c r="F701" s="2"/>
      <c r="G701" s="2"/>
      <c r="H701" s="2"/>
      <c r="I701" s="2"/>
      <c r="J701" s="2"/>
      <c r="K701" s="2"/>
      <c r="L701" s="2"/>
      <c r="M701" s="2"/>
      <c r="N701" s="1"/>
      <c r="O701" s="2"/>
      <c r="P701" s="2"/>
      <c r="Q701" s="2"/>
      <c r="R701" s="2"/>
      <c r="S701" s="2"/>
      <c r="T701" s="2"/>
      <c r="U701" s="2"/>
      <c r="V701" s="2"/>
      <c r="W701" s="2"/>
      <c r="X701" s="2"/>
      <c r="Y701" s="2"/>
      <c r="Z701" s="1"/>
      <c r="AA701" s="1"/>
      <c r="AB701" s="1"/>
      <c r="AC701" s="1"/>
      <c r="AD701" s="1"/>
      <c r="AE701" s="1"/>
      <c r="AF701" s="1"/>
      <c r="AG701" s="1"/>
      <c r="AH701" s="1"/>
      <c r="AI701" s="1"/>
      <c r="AJ701" s="1"/>
      <c r="AK701" s="1"/>
    </row>
    <row r="702" ht="30.0" customHeight="1">
      <c r="A702" s="1"/>
      <c r="B702" s="1"/>
      <c r="C702" s="2"/>
      <c r="D702" s="2"/>
      <c r="E702" s="2"/>
      <c r="F702" s="2"/>
      <c r="G702" s="2"/>
      <c r="H702" s="2"/>
      <c r="I702" s="2"/>
      <c r="J702" s="2"/>
      <c r="K702" s="2"/>
      <c r="L702" s="2"/>
      <c r="M702" s="2"/>
      <c r="N702" s="1"/>
      <c r="O702" s="2"/>
      <c r="P702" s="2"/>
      <c r="Q702" s="2"/>
      <c r="R702" s="2"/>
      <c r="S702" s="2"/>
      <c r="T702" s="2"/>
      <c r="U702" s="2"/>
      <c r="V702" s="2"/>
      <c r="W702" s="2"/>
      <c r="X702" s="2"/>
      <c r="Y702" s="2"/>
      <c r="Z702" s="1"/>
      <c r="AA702" s="1"/>
      <c r="AB702" s="1"/>
      <c r="AC702" s="1"/>
      <c r="AD702" s="1"/>
      <c r="AE702" s="1"/>
      <c r="AF702" s="1"/>
      <c r="AG702" s="1"/>
      <c r="AH702" s="1"/>
      <c r="AI702" s="1"/>
      <c r="AJ702" s="1"/>
      <c r="AK702" s="1"/>
    </row>
    <row r="703" ht="30.0" customHeight="1">
      <c r="A703" s="1"/>
      <c r="B703" s="1"/>
      <c r="C703" s="2"/>
      <c r="D703" s="2"/>
      <c r="E703" s="2"/>
      <c r="F703" s="2"/>
      <c r="G703" s="2"/>
      <c r="H703" s="2"/>
      <c r="I703" s="2"/>
      <c r="J703" s="2"/>
      <c r="K703" s="2"/>
      <c r="L703" s="2"/>
      <c r="M703" s="2"/>
      <c r="N703" s="1"/>
      <c r="O703" s="2"/>
      <c r="P703" s="2"/>
      <c r="Q703" s="2"/>
      <c r="R703" s="2"/>
      <c r="S703" s="2"/>
      <c r="T703" s="2"/>
      <c r="U703" s="2"/>
      <c r="V703" s="2"/>
      <c r="W703" s="2"/>
      <c r="X703" s="2"/>
      <c r="Y703" s="2"/>
      <c r="Z703" s="1"/>
      <c r="AA703" s="1"/>
      <c r="AB703" s="1"/>
      <c r="AC703" s="1"/>
      <c r="AD703" s="1"/>
      <c r="AE703" s="1"/>
      <c r="AF703" s="1"/>
      <c r="AG703" s="1"/>
      <c r="AH703" s="1"/>
      <c r="AI703" s="1"/>
      <c r="AJ703" s="1"/>
      <c r="AK703" s="1"/>
    </row>
    <row r="704" ht="30.0" customHeight="1">
      <c r="A704" s="1"/>
      <c r="B704" s="1"/>
      <c r="C704" s="2"/>
      <c r="D704" s="2"/>
      <c r="E704" s="2"/>
      <c r="F704" s="2"/>
      <c r="G704" s="2"/>
      <c r="H704" s="2"/>
      <c r="I704" s="2"/>
      <c r="J704" s="2"/>
      <c r="K704" s="2"/>
      <c r="L704" s="2"/>
      <c r="M704" s="2"/>
      <c r="N704" s="1"/>
      <c r="O704" s="2"/>
      <c r="P704" s="2"/>
      <c r="Q704" s="2"/>
      <c r="R704" s="2"/>
      <c r="S704" s="2"/>
      <c r="T704" s="2"/>
      <c r="U704" s="2"/>
      <c r="V704" s="2"/>
      <c r="W704" s="2"/>
      <c r="X704" s="2"/>
      <c r="Y704" s="2"/>
      <c r="Z704" s="1"/>
      <c r="AA704" s="1"/>
      <c r="AB704" s="1"/>
      <c r="AC704" s="1"/>
      <c r="AD704" s="1"/>
      <c r="AE704" s="1"/>
      <c r="AF704" s="1"/>
      <c r="AG704" s="1"/>
      <c r="AH704" s="1"/>
      <c r="AI704" s="1"/>
      <c r="AJ704" s="1"/>
      <c r="AK704" s="1"/>
    </row>
    <row r="705" ht="30.0" customHeight="1">
      <c r="A705" s="1"/>
      <c r="B705" s="1"/>
      <c r="C705" s="2"/>
      <c r="D705" s="2"/>
      <c r="E705" s="2"/>
      <c r="F705" s="2"/>
      <c r="G705" s="2"/>
      <c r="H705" s="2"/>
      <c r="I705" s="2"/>
      <c r="J705" s="2"/>
      <c r="K705" s="2"/>
      <c r="L705" s="2"/>
      <c r="M705" s="2"/>
      <c r="N705" s="1"/>
      <c r="O705" s="2"/>
      <c r="P705" s="2"/>
      <c r="Q705" s="2"/>
      <c r="R705" s="2"/>
      <c r="S705" s="2"/>
      <c r="T705" s="2"/>
      <c r="U705" s="2"/>
      <c r="V705" s="2"/>
      <c r="W705" s="2"/>
      <c r="X705" s="2"/>
      <c r="Y705" s="2"/>
      <c r="Z705" s="1"/>
      <c r="AA705" s="1"/>
      <c r="AB705" s="1"/>
      <c r="AC705" s="1"/>
      <c r="AD705" s="1"/>
      <c r="AE705" s="1"/>
      <c r="AF705" s="1"/>
      <c r="AG705" s="1"/>
      <c r="AH705" s="1"/>
      <c r="AI705" s="1"/>
      <c r="AJ705" s="1"/>
      <c r="AK705" s="1"/>
    </row>
    <row r="706" ht="30.0" customHeight="1">
      <c r="A706" s="1"/>
      <c r="B706" s="1"/>
      <c r="C706" s="2"/>
      <c r="D706" s="2"/>
      <c r="E706" s="2"/>
      <c r="F706" s="2"/>
      <c r="G706" s="2"/>
      <c r="H706" s="2"/>
      <c r="I706" s="2"/>
      <c r="J706" s="2"/>
      <c r="K706" s="2"/>
      <c r="L706" s="2"/>
      <c r="M706" s="2"/>
      <c r="N706" s="1"/>
      <c r="O706" s="2"/>
      <c r="P706" s="2"/>
      <c r="Q706" s="2"/>
      <c r="R706" s="2"/>
      <c r="S706" s="2"/>
      <c r="T706" s="2"/>
      <c r="U706" s="2"/>
      <c r="V706" s="2"/>
      <c r="W706" s="2"/>
      <c r="X706" s="2"/>
      <c r="Y706" s="2"/>
      <c r="Z706" s="1"/>
      <c r="AA706" s="1"/>
      <c r="AB706" s="1"/>
      <c r="AC706" s="1"/>
      <c r="AD706" s="1"/>
      <c r="AE706" s="1"/>
      <c r="AF706" s="1"/>
      <c r="AG706" s="1"/>
      <c r="AH706" s="1"/>
      <c r="AI706" s="1"/>
      <c r="AJ706" s="1"/>
      <c r="AK706" s="1"/>
    </row>
    <row r="707" ht="30.0" customHeight="1">
      <c r="A707" s="1"/>
      <c r="B707" s="1"/>
      <c r="C707" s="2"/>
      <c r="D707" s="2"/>
      <c r="E707" s="2"/>
      <c r="F707" s="2"/>
      <c r="G707" s="2"/>
      <c r="H707" s="2"/>
      <c r="I707" s="2"/>
      <c r="J707" s="2"/>
      <c r="K707" s="2"/>
      <c r="L707" s="2"/>
      <c r="M707" s="2"/>
      <c r="N707" s="1"/>
      <c r="O707" s="2"/>
      <c r="P707" s="2"/>
      <c r="Q707" s="2"/>
      <c r="R707" s="2"/>
      <c r="S707" s="2"/>
      <c r="T707" s="2"/>
      <c r="U707" s="2"/>
      <c r="V707" s="2"/>
      <c r="W707" s="2"/>
      <c r="X707" s="2"/>
      <c r="Y707" s="2"/>
      <c r="Z707" s="1"/>
      <c r="AA707" s="1"/>
      <c r="AB707" s="1"/>
      <c r="AC707" s="1"/>
      <c r="AD707" s="1"/>
      <c r="AE707" s="1"/>
      <c r="AF707" s="1"/>
      <c r="AG707" s="1"/>
      <c r="AH707" s="1"/>
      <c r="AI707" s="1"/>
      <c r="AJ707" s="1"/>
      <c r="AK707" s="1"/>
    </row>
    <row r="708" ht="30.0" customHeight="1">
      <c r="A708" s="1"/>
      <c r="B708" s="1"/>
      <c r="C708" s="2"/>
      <c r="D708" s="2"/>
      <c r="E708" s="2"/>
      <c r="F708" s="2"/>
      <c r="G708" s="2"/>
      <c r="H708" s="2"/>
      <c r="I708" s="2"/>
      <c r="J708" s="2"/>
      <c r="K708" s="2"/>
      <c r="L708" s="2"/>
      <c r="M708" s="2"/>
      <c r="N708" s="1"/>
      <c r="O708" s="2"/>
      <c r="P708" s="2"/>
      <c r="Q708" s="2"/>
      <c r="R708" s="2"/>
      <c r="S708" s="2"/>
      <c r="T708" s="2"/>
      <c r="U708" s="2"/>
      <c r="V708" s="2"/>
      <c r="W708" s="2"/>
      <c r="X708" s="2"/>
      <c r="Y708" s="2"/>
      <c r="Z708" s="1"/>
      <c r="AA708" s="1"/>
      <c r="AB708" s="1"/>
      <c r="AC708" s="1"/>
      <c r="AD708" s="1"/>
      <c r="AE708" s="1"/>
      <c r="AF708" s="1"/>
      <c r="AG708" s="1"/>
      <c r="AH708" s="1"/>
      <c r="AI708" s="1"/>
      <c r="AJ708" s="1"/>
      <c r="AK708" s="1"/>
    </row>
    <row r="709" ht="30.0" customHeight="1">
      <c r="A709" s="1"/>
      <c r="B709" s="1"/>
      <c r="C709" s="2"/>
      <c r="D709" s="2"/>
      <c r="E709" s="2"/>
      <c r="F709" s="2"/>
      <c r="G709" s="2"/>
      <c r="H709" s="2"/>
      <c r="I709" s="2"/>
      <c r="J709" s="2"/>
      <c r="K709" s="2"/>
      <c r="L709" s="2"/>
      <c r="M709" s="2"/>
      <c r="N709" s="1"/>
      <c r="O709" s="2"/>
      <c r="P709" s="2"/>
      <c r="Q709" s="2"/>
      <c r="R709" s="2"/>
      <c r="S709" s="2"/>
      <c r="T709" s="2"/>
      <c r="U709" s="2"/>
      <c r="V709" s="2"/>
      <c r="W709" s="2"/>
      <c r="X709" s="2"/>
      <c r="Y709" s="2"/>
      <c r="Z709" s="1"/>
      <c r="AA709" s="1"/>
      <c r="AB709" s="1"/>
      <c r="AC709" s="1"/>
      <c r="AD709" s="1"/>
      <c r="AE709" s="1"/>
      <c r="AF709" s="1"/>
      <c r="AG709" s="1"/>
      <c r="AH709" s="1"/>
      <c r="AI709" s="1"/>
      <c r="AJ709" s="1"/>
      <c r="AK709" s="1"/>
    </row>
    <row r="710" ht="30.0" customHeight="1">
      <c r="A710" s="1"/>
      <c r="B710" s="1"/>
      <c r="C710" s="2"/>
      <c r="D710" s="2"/>
      <c r="E710" s="2"/>
      <c r="F710" s="2"/>
      <c r="G710" s="2"/>
      <c r="H710" s="2"/>
      <c r="I710" s="2"/>
      <c r="J710" s="2"/>
      <c r="K710" s="2"/>
      <c r="L710" s="2"/>
      <c r="M710" s="2"/>
      <c r="N710" s="1"/>
      <c r="O710" s="2"/>
      <c r="P710" s="2"/>
      <c r="Q710" s="2"/>
      <c r="R710" s="2"/>
      <c r="S710" s="2"/>
      <c r="T710" s="2"/>
      <c r="U710" s="2"/>
      <c r="V710" s="2"/>
      <c r="W710" s="2"/>
      <c r="X710" s="2"/>
      <c r="Y710" s="2"/>
      <c r="Z710" s="1"/>
      <c r="AA710" s="1"/>
      <c r="AB710" s="1"/>
      <c r="AC710" s="1"/>
      <c r="AD710" s="1"/>
      <c r="AE710" s="1"/>
      <c r="AF710" s="1"/>
      <c r="AG710" s="1"/>
      <c r="AH710" s="1"/>
      <c r="AI710" s="1"/>
      <c r="AJ710" s="1"/>
      <c r="AK710" s="1"/>
    </row>
    <row r="711" ht="30.0" customHeight="1">
      <c r="A711" s="1"/>
      <c r="B711" s="1"/>
      <c r="C711" s="2"/>
      <c r="D711" s="2"/>
      <c r="E711" s="2"/>
      <c r="F711" s="2"/>
      <c r="G711" s="2"/>
      <c r="H711" s="2"/>
      <c r="I711" s="2"/>
      <c r="J711" s="2"/>
      <c r="K711" s="2"/>
      <c r="L711" s="2"/>
      <c r="M711" s="2"/>
      <c r="N711" s="1"/>
      <c r="O711" s="2"/>
      <c r="P711" s="2"/>
      <c r="Q711" s="2"/>
      <c r="R711" s="2"/>
      <c r="S711" s="2"/>
      <c r="T711" s="2"/>
      <c r="U711" s="2"/>
      <c r="V711" s="2"/>
      <c r="W711" s="2"/>
      <c r="X711" s="2"/>
      <c r="Y711" s="2"/>
      <c r="Z711" s="1"/>
      <c r="AA711" s="1"/>
      <c r="AB711" s="1"/>
      <c r="AC711" s="1"/>
      <c r="AD711" s="1"/>
      <c r="AE711" s="1"/>
      <c r="AF711" s="1"/>
      <c r="AG711" s="1"/>
      <c r="AH711" s="1"/>
      <c r="AI711" s="1"/>
      <c r="AJ711" s="1"/>
      <c r="AK711" s="1"/>
    </row>
    <row r="712" ht="30.0" customHeight="1">
      <c r="A712" s="1"/>
      <c r="B712" s="1"/>
      <c r="C712" s="2"/>
      <c r="D712" s="2"/>
      <c r="E712" s="2"/>
      <c r="F712" s="2"/>
      <c r="G712" s="2"/>
      <c r="H712" s="2"/>
      <c r="I712" s="2"/>
      <c r="J712" s="2"/>
      <c r="K712" s="2"/>
      <c r="L712" s="2"/>
      <c r="M712" s="2"/>
      <c r="N712" s="1"/>
      <c r="O712" s="2"/>
      <c r="P712" s="2"/>
      <c r="Q712" s="2"/>
      <c r="R712" s="2"/>
      <c r="S712" s="2"/>
      <c r="T712" s="2"/>
      <c r="U712" s="2"/>
      <c r="V712" s="2"/>
      <c r="W712" s="2"/>
      <c r="X712" s="2"/>
      <c r="Y712" s="2"/>
      <c r="Z712" s="1"/>
      <c r="AA712" s="1"/>
      <c r="AB712" s="1"/>
      <c r="AC712" s="1"/>
      <c r="AD712" s="1"/>
      <c r="AE712" s="1"/>
      <c r="AF712" s="1"/>
      <c r="AG712" s="1"/>
      <c r="AH712" s="1"/>
      <c r="AI712" s="1"/>
      <c r="AJ712" s="1"/>
      <c r="AK712" s="1"/>
    </row>
    <row r="713" ht="30.0" customHeight="1">
      <c r="A713" s="1"/>
      <c r="B713" s="1"/>
      <c r="C713" s="2"/>
      <c r="D713" s="2"/>
      <c r="E713" s="2"/>
      <c r="F713" s="2"/>
      <c r="G713" s="2"/>
      <c r="H713" s="2"/>
      <c r="I713" s="2"/>
      <c r="J713" s="2"/>
      <c r="K713" s="2"/>
      <c r="L713" s="2"/>
      <c r="M713" s="2"/>
      <c r="N713" s="1"/>
      <c r="O713" s="2"/>
      <c r="P713" s="2"/>
      <c r="Q713" s="2"/>
      <c r="R713" s="2"/>
      <c r="S713" s="2"/>
      <c r="T713" s="2"/>
      <c r="U713" s="2"/>
      <c r="V713" s="2"/>
      <c r="W713" s="2"/>
      <c r="X713" s="2"/>
      <c r="Y713" s="2"/>
      <c r="Z713" s="1"/>
      <c r="AA713" s="1"/>
      <c r="AB713" s="1"/>
      <c r="AC713" s="1"/>
      <c r="AD713" s="1"/>
      <c r="AE713" s="1"/>
      <c r="AF713" s="1"/>
      <c r="AG713" s="1"/>
      <c r="AH713" s="1"/>
      <c r="AI713" s="1"/>
      <c r="AJ713" s="1"/>
      <c r="AK713" s="1"/>
    </row>
    <row r="714" ht="30.0" customHeight="1">
      <c r="A714" s="1"/>
      <c r="B714" s="1"/>
      <c r="C714" s="2"/>
      <c r="D714" s="2"/>
      <c r="E714" s="2"/>
      <c r="F714" s="2"/>
      <c r="G714" s="2"/>
      <c r="H714" s="2"/>
      <c r="I714" s="2"/>
      <c r="J714" s="2"/>
      <c r="K714" s="2"/>
      <c r="L714" s="2"/>
      <c r="M714" s="2"/>
      <c r="N714" s="1"/>
      <c r="O714" s="2"/>
      <c r="P714" s="2"/>
      <c r="Q714" s="2"/>
      <c r="R714" s="2"/>
      <c r="S714" s="2"/>
      <c r="T714" s="2"/>
      <c r="U714" s="2"/>
      <c r="V714" s="2"/>
      <c r="W714" s="2"/>
      <c r="X714" s="2"/>
      <c r="Y714" s="2"/>
      <c r="Z714" s="1"/>
      <c r="AA714" s="1"/>
      <c r="AB714" s="1"/>
      <c r="AC714" s="1"/>
      <c r="AD714" s="1"/>
      <c r="AE714" s="1"/>
      <c r="AF714" s="1"/>
      <c r="AG714" s="1"/>
      <c r="AH714" s="1"/>
      <c r="AI714" s="1"/>
      <c r="AJ714" s="1"/>
      <c r="AK714" s="1"/>
    </row>
    <row r="715" ht="30.0" customHeight="1">
      <c r="A715" s="1"/>
      <c r="B715" s="1"/>
      <c r="C715" s="2"/>
      <c r="D715" s="2"/>
      <c r="E715" s="2"/>
      <c r="F715" s="2"/>
      <c r="G715" s="2"/>
      <c r="H715" s="2"/>
      <c r="I715" s="2"/>
      <c r="J715" s="2"/>
      <c r="K715" s="2"/>
      <c r="L715" s="2"/>
      <c r="M715" s="2"/>
      <c r="N715" s="1"/>
      <c r="O715" s="2"/>
      <c r="P715" s="2"/>
      <c r="Q715" s="2"/>
      <c r="R715" s="2"/>
      <c r="S715" s="2"/>
      <c r="T715" s="2"/>
      <c r="U715" s="2"/>
      <c r="V715" s="2"/>
      <c r="W715" s="2"/>
      <c r="X715" s="2"/>
      <c r="Y715" s="2"/>
      <c r="Z715" s="1"/>
      <c r="AA715" s="1"/>
      <c r="AB715" s="1"/>
      <c r="AC715" s="1"/>
      <c r="AD715" s="1"/>
      <c r="AE715" s="1"/>
      <c r="AF715" s="1"/>
      <c r="AG715" s="1"/>
      <c r="AH715" s="1"/>
      <c r="AI715" s="1"/>
      <c r="AJ715" s="1"/>
      <c r="AK715" s="1"/>
    </row>
    <row r="716" ht="30.0" customHeight="1">
      <c r="A716" s="1"/>
      <c r="B716" s="1"/>
      <c r="C716" s="2"/>
      <c r="D716" s="2"/>
      <c r="E716" s="2"/>
      <c r="F716" s="2"/>
      <c r="G716" s="2"/>
      <c r="H716" s="2"/>
      <c r="I716" s="2"/>
      <c r="J716" s="2"/>
      <c r="K716" s="2"/>
      <c r="L716" s="2"/>
      <c r="M716" s="2"/>
      <c r="N716" s="1"/>
      <c r="O716" s="2"/>
      <c r="P716" s="2"/>
      <c r="Q716" s="2"/>
      <c r="R716" s="2"/>
      <c r="S716" s="2"/>
      <c r="T716" s="2"/>
      <c r="U716" s="2"/>
      <c r="V716" s="2"/>
      <c r="W716" s="2"/>
      <c r="X716" s="2"/>
      <c r="Y716" s="2"/>
      <c r="Z716" s="1"/>
      <c r="AA716" s="1"/>
      <c r="AB716" s="1"/>
      <c r="AC716" s="1"/>
      <c r="AD716" s="1"/>
      <c r="AE716" s="1"/>
      <c r="AF716" s="1"/>
      <c r="AG716" s="1"/>
      <c r="AH716" s="1"/>
      <c r="AI716" s="1"/>
      <c r="AJ716" s="1"/>
      <c r="AK716" s="1"/>
    </row>
    <row r="717" ht="30.0" customHeight="1">
      <c r="A717" s="1"/>
      <c r="B717" s="1"/>
      <c r="C717" s="2"/>
      <c r="D717" s="2"/>
      <c r="E717" s="2"/>
      <c r="F717" s="2"/>
      <c r="G717" s="2"/>
      <c r="H717" s="2"/>
      <c r="I717" s="2"/>
      <c r="J717" s="2"/>
      <c r="K717" s="2"/>
      <c r="L717" s="2"/>
      <c r="M717" s="2"/>
      <c r="N717" s="1"/>
      <c r="O717" s="2"/>
      <c r="P717" s="2"/>
      <c r="Q717" s="2"/>
      <c r="R717" s="2"/>
      <c r="S717" s="2"/>
      <c r="T717" s="2"/>
      <c r="U717" s="2"/>
      <c r="V717" s="2"/>
      <c r="W717" s="2"/>
      <c r="X717" s="2"/>
      <c r="Y717" s="2"/>
      <c r="Z717" s="1"/>
      <c r="AA717" s="1"/>
      <c r="AB717" s="1"/>
      <c r="AC717" s="1"/>
      <c r="AD717" s="1"/>
      <c r="AE717" s="1"/>
      <c r="AF717" s="1"/>
      <c r="AG717" s="1"/>
      <c r="AH717" s="1"/>
      <c r="AI717" s="1"/>
      <c r="AJ717" s="1"/>
      <c r="AK717" s="1"/>
    </row>
    <row r="718" ht="30.0" customHeight="1">
      <c r="A718" s="1"/>
      <c r="B718" s="1"/>
      <c r="C718" s="2"/>
      <c r="D718" s="2"/>
      <c r="E718" s="2"/>
      <c r="F718" s="2"/>
      <c r="G718" s="2"/>
      <c r="H718" s="2"/>
      <c r="I718" s="2"/>
      <c r="J718" s="2"/>
      <c r="K718" s="2"/>
      <c r="L718" s="2"/>
      <c r="M718" s="2"/>
      <c r="N718" s="1"/>
      <c r="O718" s="2"/>
      <c r="P718" s="2"/>
      <c r="Q718" s="2"/>
      <c r="R718" s="2"/>
      <c r="S718" s="2"/>
      <c r="T718" s="2"/>
      <c r="U718" s="2"/>
      <c r="V718" s="2"/>
      <c r="W718" s="2"/>
      <c r="X718" s="2"/>
      <c r="Y718" s="2"/>
      <c r="Z718" s="1"/>
      <c r="AA718" s="1"/>
      <c r="AB718" s="1"/>
      <c r="AC718" s="1"/>
      <c r="AD718" s="1"/>
      <c r="AE718" s="1"/>
      <c r="AF718" s="1"/>
      <c r="AG718" s="1"/>
      <c r="AH718" s="1"/>
      <c r="AI718" s="1"/>
      <c r="AJ718" s="1"/>
      <c r="AK718" s="1"/>
    </row>
    <row r="719" ht="30.0" customHeight="1">
      <c r="A719" s="1"/>
      <c r="B719" s="1"/>
      <c r="C719" s="2"/>
      <c r="D719" s="2"/>
      <c r="E719" s="2"/>
      <c r="F719" s="2"/>
      <c r="G719" s="2"/>
      <c r="H719" s="2"/>
      <c r="I719" s="2"/>
      <c r="J719" s="2"/>
      <c r="K719" s="2"/>
      <c r="L719" s="2"/>
      <c r="M719" s="2"/>
      <c r="N719" s="1"/>
      <c r="O719" s="2"/>
      <c r="P719" s="2"/>
      <c r="Q719" s="2"/>
      <c r="R719" s="2"/>
      <c r="S719" s="2"/>
      <c r="T719" s="2"/>
      <c r="U719" s="2"/>
      <c r="V719" s="2"/>
      <c r="W719" s="2"/>
      <c r="X719" s="2"/>
      <c r="Y719" s="2"/>
      <c r="Z719" s="1"/>
      <c r="AA719" s="1"/>
      <c r="AB719" s="1"/>
      <c r="AC719" s="1"/>
      <c r="AD719" s="1"/>
      <c r="AE719" s="1"/>
      <c r="AF719" s="1"/>
      <c r="AG719" s="1"/>
      <c r="AH719" s="1"/>
      <c r="AI719" s="1"/>
      <c r="AJ719" s="1"/>
      <c r="AK719" s="1"/>
    </row>
    <row r="720" ht="30.0" customHeight="1">
      <c r="A720" s="1"/>
      <c r="B720" s="1"/>
      <c r="C720" s="2"/>
      <c r="D720" s="2"/>
      <c r="E720" s="2"/>
      <c r="F720" s="2"/>
      <c r="G720" s="2"/>
      <c r="H720" s="2"/>
      <c r="I720" s="2"/>
      <c r="J720" s="2"/>
      <c r="K720" s="2"/>
      <c r="L720" s="2"/>
      <c r="M720" s="2"/>
      <c r="N720" s="1"/>
      <c r="O720" s="2"/>
      <c r="P720" s="2"/>
      <c r="Q720" s="2"/>
      <c r="R720" s="2"/>
      <c r="S720" s="2"/>
      <c r="T720" s="2"/>
      <c r="U720" s="2"/>
      <c r="V720" s="2"/>
      <c r="W720" s="2"/>
      <c r="X720" s="2"/>
      <c r="Y720" s="2"/>
      <c r="Z720" s="1"/>
      <c r="AA720" s="1"/>
      <c r="AB720" s="1"/>
      <c r="AC720" s="1"/>
      <c r="AD720" s="1"/>
      <c r="AE720" s="1"/>
      <c r="AF720" s="1"/>
      <c r="AG720" s="1"/>
      <c r="AH720" s="1"/>
      <c r="AI720" s="1"/>
      <c r="AJ720" s="1"/>
      <c r="AK720" s="1"/>
    </row>
    <row r="721" ht="30.0" customHeight="1">
      <c r="A721" s="1"/>
      <c r="B721" s="1"/>
      <c r="C721" s="2"/>
      <c r="D721" s="2"/>
      <c r="E721" s="2"/>
      <c r="F721" s="2"/>
      <c r="G721" s="2"/>
      <c r="H721" s="2"/>
      <c r="I721" s="2"/>
      <c r="J721" s="2"/>
      <c r="K721" s="2"/>
      <c r="L721" s="2"/>
      <c r="M721" s="2"/>
      <c r="N721" s="1"/>
      <c r="O721" s="2"/>
      <c r="P721" s="2"/>
      <c r="Q721" s="2"/>
      <c r="R721" s="2"/>
      <c r="S721" s="2"/>
      <c r="T721" s="2"/>
      <c r="U721" s="2"/>
      <c r="V721" s="2"/>
      <c r="W721" s="2"/>
      <c r="X721" s="2"/>
      <c r="Y721" s="2"/>
      <c r="Z721" s="1"/>
      <c r="AA721" s="1"/>
      <c r="AB721" s="1"/>
      <c r="AC721" s="1"/>
      <c r="AD721" s="1"/>
      <c r="AE721" s="1"/>
      <c r="AF721" s="1"/>
      <c r="AG721" s="1"/>
      <c r="AH721" s="1"/>
      <c r="AI721" s="1"/>
      <c r="AJ721" s="1"/>
      <c r="AK721" s="1"/>
    </row>
    <row r="722" ht="30.0" customHeight="1">
      <c r="A722" s="1"/>
      <c r="B722" s="1"/>
      <c r="C722" s="2"/>
      <c r="D722" s="2"/>
      <c r="E722" s="2"/>
      <c r="F722" s="2"/>
      <c r="G722" s="2"/>
      <c r="H722" s="2"/>
      <c r="I722" s="2"/>
      <c r="J722" s="2"/>
      <c r="K722" s="2"/>
      <c r="L722" s="2"/>
      <c r="M722" s="2"/>
      <c r="N722" s="1"/>
      <c r="O722" s="2"/>
      <c r="P722" s="2"/>
      <c r="Q722" s="2"/>
      <c r="R722" s="2"/>
      <c r="S722" s="2"/>
      <c r="T722" s="2"/>
      <c r="U722" s="2"/>
      <c r="V722" s="2"/>
      <c r="W722" s="2"/>
      <c r="X722" s="2"/>
      <c r="Y722" s="2"/>
      <c r="Z722" s="1"/>
      <c r="AA722" s="1"/>
      <c r="AB722" s="1"/>
      <c r="AC722" s="1"/>
      <c r="AD722" s="1"/>
      <c r="AE722" s="1"/>
      <c r="AF722" s="1"/>
      <c r="AG722" s="1"/>
      <c r="AH722" s="1"/>
      <c r="AI722" s="1"/>
      <c r="AJ722" s="1"/>
      <c r="AK722" s="1"/>
    </row>
    <row r="723" ht="30.0" customHeight="1">
      <c r="A723" s="1"/>
      <c r="B723" s="1"/>
      <c r="C723" s="2"/>
      <c r="D723" s="2"/>
      <c r="E723" s="2"/>
      <c r="F723" s="2"/>
      <c r="G723" s="2"/>
      <c r="H723" s="2"/>
      <c r="I723" s="2"/>
      <c r="J723" s="2"/>
      <c r="K723" s="2"/>
      <c r="L723" s="2"/>
      <c r="M723" s="2"/>
      <c r="N723" s="1"/>
      <c r="O723" s="2"/>
      <c r="P723" s="2"/>
      <c r="Q723" s="2"/>
      <c r="R723" s="2"/>
      <c r="S723" s="2"/>
      <c r="T723" s="2"/>
      <c r="U723" s="2"/>
      <c r="V723" s="2"/>
      <c r="W723" s="2"/>
      <c r="X723" s="2"/>
      <c r="Y723" s="2"/>
      <c r="Z723" s="1"/>
      <c r="AA723" s="1"/>
      <c r="AB723" s="1"/>
      <c r="AC723" s="1"/>
      <c r="AD723" s="1"/>
      <c r="AE723" s="1"/>
      <c r="AF723" s="1"/>
      <c r="AG723" s="1"/>
      <c r="AH723" s="1"/>
      <c r="AI723" s="1"/>
      <c r="AJ723" s="1"/>
      <c r="AK723" s="1"/>
    </row>
    <row r="724" ht="30.0" customHeight="1">
      <c r="A724" s="1"/>
      <c r="B724" s="1"/>
      <c r="C724" s="2"/>
      <c r="D724" s="2"/>
      <c r="E724" s="2"/>
      <c r="F724" s="2"/>
      <c r="G724" s="2"/>
      <c r="H724" s="2"/>
      <c r="I724" s="2"/>
      <c r="J724" s="2"/>
      <c r="K724" s="2"/>
      <c r="L724" s="2"/>
      <c r="M724" s="2"/>
      <c r="N724" s="1"/>
      <c r="O724" s="2"/>
      <c r="P724" s="2"/>
      <c r="Q724" s="2"/>
      <c r="R724" s="2"/>
      <c r="S724" s="2"/>
      <c r="T724" s="2"/>
      <c r="U724" s="2"/>
      <c r="V724" s="2"/>
      <c r="W724" s="2"/>
      <c r="X724" s="2"/>
      <c r="Y724" s="2"/>
      <c r="Z724" s="1"/>
      <c r="AA724" s="1"/>
      <c r="AB724" s="1"/>
      <c r="AC724" s="1"/>
      <c r="AD724" s="1"/>
      <c r="AE724" s="1"/>
      <c r="AF724" s="1"/>
      <c r="AG724" s="1"/>
      <c r="AH724" s="1"/>
      <c r="AI724" s="1"/>
      <c r="AJ724" s="1"/>
      <c r="AK724" s="1"/>
    </row>
    <row r="725" ht="30.0" customHeight="1">
      <c r="A725" s="1"/>
      <c r="B725" s="1"/>
      <c r="C725" s="2"/>
      <c r="D725" s="2"/>
      <c r="E725" s="2"/>
      <c r="F725" s="2"/>
      <c r="G725" s="2"/>
      <c r="H725" s="2"/>
      <c r="I725" s="2"/>
      <c r="J725" s="2"/>
      <c r="K725" s="2"/>
      <c r="L725" s="2"/>
      <c r="M725" s="2"/>
      <c r="N725" s="1"/>
      <c r="O725" s="2"/>
      <c r="P725" s="2"/>
      <c r="Q725" s="2"/>
      <c r="R725" s="2"/>
      <c r="S725" s="2"/>
      <c r="T725" s="2"/>
      <c r="U725" s="2"/>
      <c r="V725" s="2"/>
      <c r="W725" s="2"/>
      <c r="X725" s="2"/>
      <c r="Y725" s="2"/>
      <c r="Z725" s="1"/>
      <c r="AA725" s="1"/>
      <c r="AB725" s="1"/>
      <c r="AC725" s="1"/>
      <c r="AD725" s="1"/>
      <c r="AE725" s="1"/>
      <c r="AF725" s="1"/>
      <c r="AG725" s="1"/>
      <c r="AH725" s="1"/>
      <c r="AI725" s="1"/>
      <c r="AJ725" s="1"/>
      <c r="AK725" s="1"/>
    </row>
    <row r="726" ht="30.0" customHeight="1">
      <c r="A726" s="1"/>
      <c r="B726" s="1"/>
      <c r="C726" s="2"/>
      <c r="D726" s="2"/>
      <c r="E726" s="2"/>
      <c r="F726" s="2"/>
      <c r="G726" s="2"/>
      <c r="H726" s="2"/>
      <c r="I726" s="2"/>
      <c r="J726" s="2"/>
      <c r="K726" s="2"/>
      <c r="L726" s="2"/>
      <c r="M726" s="2"/>
      <c r="N726" s="1"/>
      <c r="O726" s="2"/>
      <c r="P726" s="2"/>
      <c r="Q726" s="2"/>
      <c r="R726" s="2"/>
      <c r="S726" s="2"/>
      <c r="T726" s="2"/>
      <c r="U726" s="2"/>
      <c r="V726" s="2"/>
      <c r="W726" s="2"/>
      <c r="X726" s="2"/>
      <c r="Y726" s="2"/>
      <c r="Z726" s="1"/>
      <c r="AA726" s="1"/>
      <c r="AB726" s="1"/>
      <c r="AC726" s="1"/>
      <c r="AD726" s="1"/>
      <c r="AE726" s="1"/>
      <c r="AF726" s="1"/>
      <c r="AG726" s="1"/>
      <c r="AH726" s="1"/>
      <c r="AI726" s="1"/>
      <c r="AJ726" s="1"/>
      <c r="AK726" s="1"/>
    </row>
    <row r="727" ht="30.0" customHeight="1">
      <c r="A727" s="1"/>
      <c r="B727" s="1"/>
      <c r="C727" s="2"/>
      <c r="D727" s="2"/>
      <c r="E727" s="2"/>
      <c r="F727" s="2"/>
      <c r="G727" s="2"/>
      <c r="H727" s="2"/>
      <c r="I727" s="2"/>
      <c r="J727" s="2"/>
      <c r="K727" s="2"/>
      <c r="L727" s="2"/>
      <c r="M727" s="2"/>
      <c r="N727" s="1"/>
      <c r="O727" s="2"/>
      <c r="P727" s="2"/>
      <c r="Q727" s="2"/>
      <c r="R727" s="2"/>
      <c r="S727" s="2"/>
      <c r="T727" s="2"/>
      <c r="U727" s="2"/>
      <c r="V727" s="2"/>
      <c r="W727" s="2"/>
      <c r="X727" s="2"/>
      <c r="Y727" s="2"/>
      <c r="Z727" s="1"/>
      <c r="AA727" s="1"/>
      <c r="AB727" s="1"/>
      <c r="AC727" s="1"/>
      <c r="AD727" s="1"/>
      <c r="AE727" s="1"/>
      <c r="AF727" s="1"/>
      <c r="AG727" s="1"/>
      <c r="AH727" s="1"/>
      <c r="AI727" s="1"/>
      <c r="AJ727" s="1"/>
      <c r="AK727" s="1"/>
    </row>
    <row r="728" ht="30.0" customHeight="1">
      <c r="A728" s="1"/>
      <c r="B728" s="1"/>
      <c r="C728" s="2"/>
      <c r="D728" s="2"/>
      <c r="E728" s="2"/>
      <c r="F728" s="2"/>
      <c r="G728" s="2"/>
      <c r="H728" s="2"/>
      <c r="I728" s="2"/>
      <c r="J728" s="2"/>
      <c r="K728" s="2"/>
      <c r="L728" s="2"/>
      <c r="M728" s="2"/>
      <c r="N728" s="1"/>
      <c r="O728" s="2"/>
      <c r="P728" s="2"/>
      <c r="Q728" s="2"/>
      <c r="R728" s="2"/>
      <c r="S728" s="2"/>
      <c r="T728" s="2"/>
      <c r="U728" s="2"/>
      <c r="V728" s="2"/>
      <c r="W728" s="2"/>
      <c r="X728" s="2"/>
      <c r="Y728" s="2"/>
      <c r="Z728" s="1"/>
      <c r="AA728" s="1"/>
      <c r="AB728" s="1"/>
      <c r="AC728" s="1"/>
      <c r="AD728" s="1"/>
      <c r="AE728" s="1"/>
      <c r="AF728" s="1"/>
      <c r="AG728" s="1"/>
      <c r="AH728" s="1"/>
      <c r="AI728" s="1"/>
      <c r="AJ728" s="1"/>
      <c r="AK728" s="1"/>
    </row>
    <row r="729" ht="30.0" customHeight="1">
      <c r="A729" s="1"/>
      <c r="B729" s="1"/>
      <c r="C729" s="2"/>
      <c r="D729" s="2"/>
      <c r="E729" s="2"/>
      <c r="F729" s="2"/>
      <c r="G729" s="2"/>
      <c r="H729" s="2"/>
      <c r="I729" s="2"/>
      <c r="J729" s="2"/>
      <c r="K729" s="2"/>
      <c r="L729" s="2"/>
      <c r="M729" s="2"/>
      <c r="N729" s="1"/>
      <c r="O729" s="2"/>
      <c r="P729" s="2"/>
      <c r="Q729" s="2"/>
      <c r="R729" s="2"/>
      <c r="S729" s="2"/>
      <c r="T729" s="2"/>
      <c r="U729" s="2"/>
      <c r="V729" s="2"/>
      <c r="W729" s="2"/>
      <c r="X729" s="2"/>
      <c r="Y729" s="2"/>
      <c r="Z729" s="1"/>
      <c r="AA729" s="1"/>
      <c r="AB729" s="1"/>
      <c r="AC729" s="1"/>
      <c r="AD729" s="1"/>
      <c r="AE729" s="1"/>
      <c r="AF729" s="1"/>
      <c r="AG729" s="1"/>
      <c r="AH729" s="1"/>
      <c r="AI729" s="1"/>
      <c r="AJ729" s="1"/>
      <c r="AK729" s="1"/>
    </row>
    <row r="730" ht="30.0" customHeight="1">
      <c r="A730" s="1"/>
      <c r="B730" s="1"/>
      <c r="C730" s="2"/>
      <c r="D730" s="2"/>
      <c r="E730" s="2"/>
      <c r="F730" s="2"/>
      <c r="G730" s="2"/>
      <c r="H730" s="2"/>
      <c r="I730" s="2"/>
      <c r="J730" s="2"/>
      <c r="K730" s="2"/>
      <c r="L730" s="2"/>
      <c r="M730" s="2"/>
      <c r="N730" s="1"/>
      <c r="O730" s="2"/>
      <c r="P730" s="2"/>
      <c r="Q730" s="2"/>
      <c r="R730" s="2"/>
      <c r="S730" s="2"/>
      <c r="T730" s="2"/>
      <c r="U730" s="2"/>
      <c r="V730" s="2"/>
      <c r="W730" s="2"/>
      <c r="X730" s="2"/>
      <c r="Y730" s="2"/>
      <c r="Z730" s="1"/>
      <c r="AA730" s="1"/>
      <c r="AB730" s="1"/>
      <c r="AC730" s="1"/>
      <c r="AD730" s="1"/>
      <c r="AE730" s="1"/>
      <c r="AF730" s="1"/>
      <c r="AG730" s="1"/>
      <c r="AH730" s="1"/>
      <c r="AI730" s="1"/>
      <c r="AJ730" s="1"/>
      <c r="AK730" s="1"/>
    </row>
    <row r="731" ht="30.0" customHeight="1">
      <c r="A731" s="1"/>
      <c r="B731" s="1"/>
      <c r="C731" s="2"/>
      <c r="D731" s="2"/>
      <c r="E731" s="2"/>
      <c r="F731" s="2"/>
      <c r="G731" s="2"/>
      <c r="H731" s="2"/>
      <c r="I731" s="2"/>
      <c r="J731" s="2"/>
      <c r="K731" s="2"/>
      <c r="L731" s="2"/>
      <c r="M731" s="2"/>
      <c r="N731" s="1"/>
      <c r="O731" s="2"/>
      <c r="P731" s="2"/>
      <c r="Q731" s="2"/>
      <c r="R731" s="2"/>
      <c r="S731" s="2"/>
      <c r="T731" s="2"/>
      <c r="U731" s="2"/>
      <c r="V731" s="2"/>
      <c r="W731" s="2"/>
      <c r="X731" s="2"/>
      <c r="Y731" s="2"/>
      <c r="Z731" s="1"/>
      <c r="AA731" s="1"/>
      <c r="AB731" s="1"/>
      <c r="AC731" s="1"/>
      <c r="AD731" s="1"/>
      <c r="AE731" s="1"/>
      <c r="AF731" s="1"/>
      <c r="AG731" s="1"/>
      <c r="AH731" s="1"/>
      <c r="AI731" s="1"/>
      <c r="AJ731" s="1"/>
      <c r="AK731" s="1"/>
    </row>
    <row r="732" ht="30.0" customHeight="1">
      <c r="A732" s="1"/>
      <c r="B732" s="1"/>
      <c r="C732" s="2"/>
      <c r="D732" s="2"/>
      <c r="E732" s="2"/>
      <c r="F732" s="2"/>
      <c r="G732" s="2"/>
      <c r="H732" s="2"/>
      <c r="I732" s="2"/>
      <c r="J732" s="2"/>
      <c r="K732" s="2"/>
      <c r="L732" s="2"/>
      <c r="M732" s="2"/>
      <c r="N732" s="1"/>
      <c r="O732" s="2"/>
      <c r="P732" s="2"/>
      <c r="Q732" s="2"/>
      <c r="R732" s="2"/>
      <c r="S732" s="2"/>
      <c r="T732" s="2"/>
      <c r="U732" s="2"/>
      <c r="V732" s="2"/>
      <c r="W732" s="2"/>
      <c r="X732" s="2"/>
      <c r="Y732" s="2"/>
      <c r="Z732" s="1"/>
      <c r="AA732" s="1"/>
      <c r="AB732" s="1"/>
      <c r="AC732" s="1"/>
      <c r="AD732" s="1"/>
      <c r="AE732" s="1"/>
      <c r="AF732" s="1"/>
      <c r="AG732" s="1"/>
      <c r="AH732" s="1"/>
      <c r="AI732" s="1"/>
      <c r="AJ732" s="1"/>
      <c r="AK732" s="1"/>
    </row>
    <row r="733" ht="30.0" customHeight="1">
      <c r="A733" s="1"/>
      <c r="B733" s="1"/>
      <c r="C733" s="2"/>
      <c r="D733" s="2"/>
      <c r="E733" s="2"/>
      <c r="F733" s="2"/>
      <c r="G733" s="2"/>
      <c r="H733" s="2"/>
      <c r="I733" s="2"/>
      <c r="J733" s="2"/>
      <c r="K733" s="2"/>
      <c r="L733" s="2"/>
      <c r="M733" s="2"/>
      <c r="N733" s="1"/>
      <c r="O733" s="2"/>
      <c r="P733" s="2"/>
      <c r="Q733" s="2"/>
      <c r="R733" s="2"/>
      <c r="S733" s="2"/>
      <c r="T733" s="2"/>
      <c r="U733" s="2"/>
      <c r="V733" s="2"/>
      <c r="W733" s="2"/>
      <c r="X733" s="2"/>
      <c r="Y733" s="2"/>
      <c r="Z733" s="1"/>
      <c r="AA733" s="1"/>
      <c r="AB733" s="1"/>
      <c r="AC733" s="1"/>
      <c r="AD733" s="1"/>
      <c r="AE733" s="1"/>
      <c r="AF733" s="1"/>
      <c r="AG733" s="1"/>
      <c r="AH733" s="1"/>
      <c r="AI733" s="1"/>
      <c r="AJ733" s="1"/>
      <c r="AK733" s="1"/>
    </row>
    <row r="734" ht="30.0" customHeight="1">
      <c r="A734" s="1"/>
      <c r="B734" s="1"/>
      <c r="C734" s="2"/>
      <c r="D734" s="2"/>
      <c r="E734" s="2"/>
      <c r="F734" s="2"/>
      <c r="G734" s="2"/>
      <c r="H734" s="2"/>
      <c r="I734" s="2"/>
      <c r="J734" s="2"/>
      <c r="K734" s="2"/>
      <c r="L734" s="2"/>
      <c r="M734" s="2"/>
      <c r="N734" s="1"/>
      <c r="O734" s="2"/>
      <c r="P734" s="2"/>
      <c r="Q734" s="2"/>
      <c r="R734" s="2"/>
      <c r="S734" s="2"/>
      <c r="T734" s="2"/>
      <c r="U734" s="2"/>
      <c r="V734" s="2"/>
      <c r="W734" s="2"/>
      <c r="X734" s="2"/>
      <c r="Y734" s="2"/>
      <c r="Z734" s="1"/>
      <c r="AA734" s="1"/>
      <c r="AB734" s="1"/>
      <c r="AC734" s="1"/>
      <c r="AD734" s="1"/>
      <c r="AE734" s="1"/>
      <c r="AF734" s="1"/>
      <c r="AG734" s="1"/>
      <c r="AH734" s="1"/>
      <c r="AI734" s="1"/>
      <c r="AJ734" s="1"/>
      <c r="AK734" s="1"/>
    </row>
    <row r="735" ht="30.0" customHeight="1">
      <c r="A735" s="1"/>
      <c r="B735" s="1"/>
      <c r="C735" s="2"/>
      <c r="D735" s="2"/>
      <c r="E735" s="2"/>
      <c r="F735" s="2"/>
      <c r="G735" s="2"/>
      <c r="H735" s="2"/>
      <c r="I735" s="2"/>
      <c r="J735" s="2"/>
      <c r="K735" s="2"/>
      <c r="L735" s="2"/>
      <c r="M735" s="2"/>
      <c r="N735" s="1"/>
      <c r="O735" s="2"/>
      <c r="P735" s="2"/>
      <c r="Q735" s="2"/>
      <c r="R735" s="2"/>
      <c r="S735" s="2"/>
      <c r="T735" s="2"/>
      <c r="U735" s="2"/>
      <c r="V735" s="2"/>
      <c r="W735" s="2"/>
      <c r="X735" s="2"/>
      <c r="Y735" s="2"/>
      <c r="Z735" s="1"/>
      <c r="AA735" s="1"/>
      <c r="AB735" s="1"/>
      <c r="AC735" s="1"/>
      <c r="AD735" s="1"/>
      <c r="AE735" s="1"/>
      <c r="AF735" s="1"/>
      <c r="AG735" s="1"/>
      <c r="AH735" s="1"/>
      <c r="AI735" s="1"/>
      <c r="AJ735" s="1"/>
      <c r="AK735" s="1"/>
    </row>
    <row r="736" ht="30.0" customHeight="1">
      <c r="A736" s="1"/>
      <c r="B736" s="1"/>
      <c r="C736" s="2"/>
      <c r="D736" s="2"/>
      <c r="E736" s="2"/>
      <c r="F736" s="2"/>
      <c r="G736" s="2"/>
      <c r="H736" s="2"/>
      <c r="I736" s="2"/>
      <c r="J736" s="2"/>
      <c r="K736" s="2"/>
      <c r="L736" s="2"/>
      <c r="M736" s="2"/>
      <c r="N736" s="1"/>
      <c r="O736" s="2"/>
      <c r="P736" s="2"/>
      <c r="Q736" s="2"/>
      <c r="R736" s="2"/>
      <c r="S736" s="2"/>
      <c r="T736" s="2"/>
      <c r="U736" s="2"/>
      <c r="V736" s="2"/>
      <c r="W736" s="2"/>
      <c r="X736" s="2"/>
      <c r="Y736" s="2"/>
      <c r="Z736" s="1"/>
      <c r="AA736" s="1"/>
      <c r="AB736" s="1"/>
      <c r="AC736" s="1"/>
      <c r="AD736" s="1"/>
      <c r="AE736" s="1"/>
      <c r="AF736" s="1"/>
      <c r="AG736" s="1"/>
      <c r="AH736" s="1"/>
      <c r="AI736" s="1"/>
      <c r="AJ736" s="1"/>
      <c r="AK736" s="1"/>
    </row>
    <row r="737" ht="30.0" customHeight="1">
      <c r="A737" s="1"/>
      <c r="B737" s="1"/>
      <c r="C737" s="2"/>
      <c r="D737" s="2"/>
      <c r="E737" s="2"/>
      <c r="F737" s="2"/>
      <c r="G737" s="2"/>
      <c r="H737" s="2"/>
      <c r="I737" s="2"/>
      <c r="J737" s="2"/>
      <c r="K737" s="2"/>
      <c r="L737" s="2"/>
      <c r="M737" s="2"/>
      <c r="N737" s="1"/>
      <c r="O737" s="2"/>
      <c r="P737" s="2"/>
      <c r="Q737" s="2"/>
      <c r="R737" s="2"/>
      <c r="S737" s="2"/>
      <c r="T737" s="2"/>
      <c r="U737" s="2"/>
      <c r="V737" s="2"/>
      <c r="W737" s="2"/>
      <c r="X737" s="2"/>
      <c r="Y737" s="2"/>
      <c r="Z737" s="1"/>
      <c r="AA737" s="1"/>
      <c r="AB737" s="1"/>
      <c r="AC737" s="1"/>
      <c r="AD737" s="1"/>
      <c r="AE737" s="1"/>
      <c r="AF737" s="1"/>
      <c r="AG737" s="1"/>
      <c r="AH737" s="1"/>
      <c r="AI737" s="1"/>
      <c r="AJ737" s="1"/>
      <c r="AK737" s="1"/>
    </row>
    <row r="738" ht="30.0" customHeight="1">
      <c r="A738" s="1"/>
      <c r="B738" s="1"/>
      <c r="C738" s="2"/>
      <c r="D738" s="2"/>
      <c r="E738" s="2"/>
      <c r="F738" s="2"/>
      <c r="G738" s="2"/>
      <c r="H738" s="2"/>
      <c r="I738" s="2"/>
      <c r="J738" s="2"/>
      <c r="K738" s="2"/>
      <c r="L738" s="2"/>
      <c r="M738" s="2"/>
      <c r="N738" s="1"/>
      <c r="O738" s="2"/>
      <c r="P738" s="2"/>
      <c r="Q738" s="2"/>
      <c r="R738" s="2"/>
      <c r="S738" s="2"/>
      <c r="T738" s="2"/>
      <c r="U738" s="2"/>
      <c r="V738" s="2"/>
      <c r="W738" s="2"/>
      <c r="X738" s="2"/>
      <c r="Y738" s="2"/>
      <c r="Z738" s="1"/>
      <c r="AA738" s="1"/>
      <c r="AB738" s="1"/>
      <c r="AC738" s="1"/>
      <c r="AD738" s="1"/>
      <c r="AE738" s="1"/>
      <c r="AF738" s="1"/>
      <c r="AG738" s="1"/>
      <c r="AH738" s="1"/>
      <c r="AI738" s="1"/>
      <c r="AJ738" s="1"/>
      <c r="AK738" s="1"/>
    </row>
    <row r="739" ht="30.0" customHeight="1">
      <c r="A739" s="1"/>
      <c r="B739" s="1"/>
      <c r="C739" s="2"/>
      <c r="D739" s="2"/>
      <c r="E739" s="2"/>
      <c r="F739" s="2"/>
      <c r="G739" s="2"/>
      <c r="H739" s="2"/>
      <c r="I739" s="2"/>
      <c r="J739" s="2"/>
      <c r="K739" s="2"/>
      <c r="L739" s="2"/>
      <c r="M739" s="2"/>
      <c r="N739" s="1"/>
      <c r="O739" s="2"/>
      <c r="P739" s="2"/>
      <c r="Q739" s="2"/>
      <c r="R739" s="2"/>
      <c r="S739" s="2"/>
      <c r="T739" s="2"/>
      <c r="U739" s="2"/>
      <c r="V739" s="2"/>
      <c r="W739" s="2"/>
      <c r="X739" s="2"/>
      <c r="Y739" s="2"/>
      <c r="Z739" s="1"/>
      <c r="AA739" s="1"/>
      <c r="AB739" s="1"/>
      <c r="AC739" s="1"/>
      <c r="AD739" s="1"/>
      <c r="AE739" s="1"/>
      <c r="AF739" s="1"/>
      <c r="AG739" s="1"/>
      <c r="AH739" s="1"/>
      <c r="AI739" s="1"/>
      <c r="AJ739" s="1"/>
      <c r="AK739" s="1"/>
    </row>
    <row r="740" ht="30.0" customHeight="1">
      <c r="A740" s="1"/>
      <c r="B740" s="1"/>
      <c r="C740" s="2"/>
      <c r="D740" s="2"/>
      <c r="E740" s="2"/>
      <c r="F740" s="2"/>
      <c r="G740" s="2"/>
      <c r="H740" s="2"/>
      <c r="I740" s="2"/>
      <c r="J740" s="2"/>
      <c r="K740" s="2"/>
      <c r="L740" s="2"/>
      <c r="M740" s="2"/>
      <c r="N740" s="1"/>
      <c r="O740" s="2"/>
      <c r="P740" s="2"/>
      <c r="Q740" s="2"/>
      <c r="R740" s="2"/>
      <c r="S740" s="2"/>
      <c r="T740" s="2"/>
      <c r="U740" s="2"/>
      <c r="V740" s="2"/>
      <c r="W740" s="2"/>
      <c r="X740" s="2"/>
      <c r="Y740" s="2"/>
      <c r="Z740" s="1"/>
      <c r="AA740" s="1"/>
      <c r="AB740" s="1"/>
      <c r="AC740" s="1"/>
      <c r="AD740" s="1"/>
      <c r="AE740" s="1"/>
      <c r="AF740" s="1"/>
      <c r="AG740" s="1"/>
      <c r="AH740" s="1"/>
      <c r="AI740" s="1"/>
      <c r="AJ740" s="1"/>
      <c r="AK740" s="1"/>
    </row>
    <row r="741" ht="30.0" customHeight="1">
      <c r="A741" s="1"/>
      <c r="B741" s="1"/>
      <c r="C741" s="2"/>
      <c r="D741" s="2"/>
      <c r="E741" s="2"/>
      <c r="F741" s="2"/>
      <c r="G741" s="2"/>
      <c r="H741" s="2"/>
      <c r="I741" s="2"/>
      <c r="J741" s="2"/>
      <c r="K741" s="2"/>
      <c r="L741" s="2"/>
      <c r="M741" s="2"/>
      <c r="N741" s="1"/>
      <c r="O741" s="2"/>
      <c r="P741" s="2"/>
      <c r="Q741" s="2"/>
      <c r="R741" s="2"/>
      <c r="S741" s="2"/>
      <c r="T741" s="2"/>
      <c r="U741" s="2"/>
      <c r="V741" s="2"/>
      <c r="W741" s="2"/>
      <c r="X741" s="2"/>
      <c r="Y741" s="2"/>
      <c r="Z741" s="1"/>
      <c r="AA741" s="1"/>
      <c r="AB741" s="1"/>
      <c r="AC741" s="1"/>
      <c r="AD741" s="1"/>
      <c r="AE741" s="1"/>
      <c r="AF741" s="1"/>
      <c r="AG741" s="1"/>
      <c r="AH741" s="1"/>
      <c r="AI741" s="1"/>
      <c r="AJ741" s="1"/>
      <c r="AK741" s="1"/>
    </row>
    <row r="742" ht="30.0" customHeight="1">
      <c r="A742" s="1"/>
      <c r="B742" s="1"/>
      <c r="C742" s="2"/>
      <c r="D742" s="2"/>
      <c r="E742" s="2"/>
      <c r="F742" s="2"/>
      <c r="G742" s="2"/>
      <c r="H742" s="2"/>
      <c r="I742" s="2"/>
      <c r="J742" s="2"/>
      <c r="K742" s="2"/>
      <c r="L742" s="2"/>
      <c r="M742" s="2"/>
      <c r="N742" s="1"/>
      <c r="O742" s="2"/>
      <c r="P742" s="2"/>
      <c r="Q742" s="2"/>
      <c r="R742" s="2"/>
      <c r="S742" s="2"/>
      <c r="T742" s="2"/>
      <c r="U742" s="2"/>
      <c r="V742" s="2"/>
      <c r="W742" s="2"/>
      <c r="X742" s="2"/>
      <c r="Y742" s="2"/>
      <c r="Z742" s="1"/>
      <c r="AA742" s="1"/>
      <c r="AB742" s="1"/>
      <c r="AC742" s="1"/>
      <c r="AD742" s="1"/>
      <c r="AE742" s="1"/>
      <c r="AF742" s="1"/>
      <c r="AG742" s="1"/>
      <c r="AH742" s="1"/>
      <c r="AI742" s="1"/>
      <c r="AJ742" s="1"/>
      <c r="AK742" s="1"/>
    </row>
    <row r="743" ht="30.0" customHeight="1">
      <c r="A743" s="1"/>
      <c r="B743" s="1"/>
      <c r="C743" s="2"/>
      <c r="D743" s="2"/>
      <c r="E743" s="2"/>
      <c r="F743" s="2"/>
      <c r="G743" s="2"/>
      <c r="H743" s="2"/>
      <c r="I743" s="2"/>
      <c r="J743" s="2"/>
      <c r="K743" s="2"/>
      <c r="L743" s="2"/>
      <c r="M743" s="2"/>
      <c r="N743" s="1"/>
      <c r="O743" s="2"/>
      <c r="P743" s="2"/>
      <c r="Q743" s="2"/>
      <c r="R743" s="2"/>
      <c r="S743" s="2"/>
      <c r="T743" s="2"/>
      <c r="U743" s="2"/>
      <c r="V743" s="2"/>
      <c r="W743" s="2"/>
      <c r="X743" s="2"/>
      <c r="Y743" s="2"/>
      <c r="Z743" s="1"/>
      <c r="AA743" s="1"/>
      <c r="AB743" s="1"/>
      <c r="AC743" s="1"/>
      <c r="AD743" s="1"/>
      <c r="AE743" s="1"/>
      <c r="AF743" s="1"/>
      <c r="AG743" s="1"/>
      <c r="AH743" s="1"/>
      <c r="AI743" s="1"/>
      <c r="AJ743" s="1"/>
      <c r="AK743" s="1"/>
    </row>
    <row r="744" ht="30.0" customHeight="1">
      <c r="A744" s="1"/>
      <c r="B744" s="1"/>
      <c r="C744" s="2"/>
      <c r="D744" s="2"/>
      <c r="E744" s="2"/>
      <c r="F744" s="2"/>
      <c r="G744" s="2"/>
      <c r="H744" s="2"/>
      <c r="I744" s="2"/>
      <c r="J744" s="2"/>
      <c r="K744" s="2"/>
      <c r="L744" s="2"/>
      <c r="M744" s="2"/>
      <c r="N744" s="1"/>
      <c r="O744" s="2"/>
      <c r="P744" s="2"/>
      <c r="Q744" s="2"/>
      <c r="R744" s="2"/>
      <c r="S744" s="2"/>
      <c r="T744" s="2"/>
      <c r="U744" s="2"/>
      <c r="V744" s="2"/>
      <c r="W744" s="2"/>
      <c r="X744" s="2"/>
      <c r="Y744" s="2"/>
      <c r="Z744" s="1"/>
      <c r="AA744" s="1"/>
      <c r="AB744" s="1"/>
      <c r="AC744" s="1"/>
      <c r="AD744" s="1"/>
      <c r="AE744" s="1"/>
      <c r="AF744" s="1"/>
      <c r="AG744" s="1"/>
      <c r="AH744" s="1"/>
      <c r="AI744" s="1"/>
      <c r="AJ744" s="1"/>
      <c r="AK744" s="1"/>
    </row>
    <row r="745" ht="30.0" customHeight="1">
      <c r="A745" s="1"/>
      <c r="B745" s="1"/>
      <c r="C745" s="2"/>
      <c r="D745" s="2"/>
      <c r="E745" s="2"/>
      <c r="F745" s="2"/>
      <c r="G745" s="2"/>
      <c r="H745" s="2"/>
      <c r="I745" s="2"/>
      <c r="J745" s="2"/>
      <c r="K745" s="2"/>
      <c r="L745" s="2"/>
      <c r="M745" s="2"/>
      <c r="N745" s="1"/>
      <c r="O745" s="2"/>
      <c r="P745" s="2"/>
      <c r="Q745" s="2"/>
      <c r="R745" s="2"/>
      <c r="S745" s="2"/>
      <c r="T745" s="2"/>
      <c r="U745" s="2"/>
      <c r="V745" s="2"/>
      <c r="W745" s="2"/>
      <c r="X745" s="2"/>
      <c r="Y745" s="2"/>
      <c r="Z745" s="1"/>
      <c r="AA745" s="1"/>
      <c r="AB745" s="1"/>
      <c r="AC745" s="1"/>
      <c r="AD745" s="1"/>
      <c r="AE745" s="1"/>
      <c r="AF745" s="1"/>
      <c r="AG745" s="1"/>
      <c r="AH745" s="1"/>
      <c r="AI745" s="1"/>
      <c r="AJ745" s="1"/>
      <c r="AK745" s="1"/>
    </row>
    <row r="746" ht="30.0" customHeight="1">
      <c r="A746" s="1"/>
      <c r="B746" s="1"/>
      <c r="C746" s="2"/>
      <c r="D746" s="2"/>
      <c r="E746" s="2"/>
      <c r="F746" s="2"/>
      <c r="G746" s="2"/>
      <c r="H746" s="2"/>
      <c r="I746" s="2"/>
      <c r="J746" s="2"/>
      <c r="K746" s="2"/>
      <c r="L746" s="2"/>
      <c r="M746" s="2"/>
      <c r="N746" s="1"/>
      <c r="O746" s="2"/>
      <c r="P746" s="2"/>
      <c r="Q746" s="2"/>
      <c r="R746" s="2"/>
      <c r="S746" s="2"/>
      <c r="T746" s="2"/>
      <c r="U746" s="2"/>
      <c r="V746" s="2"/>
      <c r="W746" s="2"/>
      <c r="X746" s="2"/>
      <c r="Y746" s="2"/>
      <c r="Z746" s="1"/>
      <c r="AA746" s="1"/>
      <c r="AB746" s="1"/>
      <c r="AC746" s="1"/>
      <c r="AD746" s="1"/>
      <c r="AE746" s="1"/>
      <c r="AF746" s="1"/>
      <c r="AG746" s="1"/>
      <c r="AH746" s="1"/>
      <c r="AI746" s="1"/>
      <c r="AJ746" s="1"/>
      <c r="AK746" s="1"/>
    </row>
    <row r="747" ht="30.0" customHeight="1">
      <c r="A747" s="1"/>
      <c r="B747" s="1"/>
      <c r="C747" s="2"/>
      <c r="D747" s="2"/>
      <c r="E747" s="2"/>
      <c r="F747" s="2"/>
      <c r="G747" s="2"/>
      <c r="H747" s="2"/>
      <c r="I747" s="2"/>
      <c r="J747" s="2"/>
      <c r="K747" s="2"/>
      <c r="L747" s="2"/>
      <c r="M747" s="2"/>
      <c r="N747" s="1"/>
      <c r="O747" s="2"/>
      <c r="P747" s="2"/>
      <c r="Q747" s="2"/>
      <c r="R747" s="2"/>
      <c r="S747" s="2"/>
      <c r="T747" s="2"/>
      <c r="U747" s="2"/>
      <c r="V747" s="2"/>
      <c r="W747" s="2"/>
      <c r="X747" s="2"/>
      <c r="Y747" s="2"/>
      <c r="Z747" s="1"/>
      <c r="AA747" s="1"/>
      <c r="AB747" s="1"/>
      <c r="AC747" s="1"/>
      <c r="AD747" s="1"/>
      <c r="AE747" s="1"/>
      <c r="AF747" s="1"/>
      <c r="AG747" s="1"/>
      <c r="AH747" s="1"/>
      <c r="AI747" s="1"/>
      <c r="AJ747" s="1"/>
      <c r="AK747" s="1"/>
    </row>
    <row r="748" ht="30.0" customHeight="1">
      <c r="A748" s="1"/>
      <c r="B748" s="1"/>
      <c r="C748" s="2"/>
      <c r="D748" s="2"/>
      <c r="E748" s="2"/>
      <c r="F748" s="2"/>
      <c r="G748" s="2"/>
      <c r="H748" s="2"/>
      <c r="I748" s="2"/>
      <c r="J748" s="2"/>
      <c r="K748" s="2"/>
      <c r="L748" s="2"/>
      <c r="M748" s="2"/>
      <c r="N748" s="1"/>
      <c r="O748" s="2"/>
      <c r="P748" s="2"/>
      <c r="Q748" s="2"/>
      <c r="R748" s="2"/>
      <c r="S748" s="2"/>
      <c r="T748" s="2"/>
      <c r="U748" s="2"/>
      <c r="V748" s="2"/>
      <c r="W748" s="2"/>
      <c r="X748" s="2"/>
      <c r="Y748" s="2"/>
      <c r="Z748" s="1"/>
      <c r="AA748" s="1"/>
      <c r="AB748" s="1"/>
      <c r="AC748" s="1"/>
      <c r="AD748" s="1"/>
      <c r="AE748" s="1"/>
      <c r="AF748" s="1"/>
      <c r="AG748" s="1"/>
      <c r="AH748" s="1"/>
      <c r="AI748" s="1"/>
      <c r="AJ748" s="1"/>
      <c r="AK748" s="1"/>
    </row>
    <row r="749" ht="30.0" customHeight="1">
      <c r="A749" s="1"/>
      <c r="B749" s="1"/>
      <c r="C749" s="2"/>
      <c r="D749" s="2"/>
      <c r="E749" s="2"/>
      <c r="F749" s="2"/>
      <c r="G749" s="2"/>
      <c r="H749" s="2"/>
      <c r="I749" s="2"/>
      <c r="J749" s="2"/>
      <c r="K749" s="2"/>
      <c r="L749" s="2"/>
      <c r="M749" s="2"/>
      <c r="N749" s="1"/>
      <c r="O749" s="2"/>
      <c r="P749" s="2"/>
      <c r="Q749" s="2"/>
      <c r="R749" s="2"/>
      <c r="S749" s="2"/>
      <c r="T749" s="2"/>
      <c r="U749" s="2"/>
      <c r="V749" s="2"/>
      <c r="W749" s="2"/>
      <c r="X749" s="2"/>
      <c r="Y749" s="2"/>
      <c r="Z749" s="1"/>
      <c r="AA749" s="1"/>
      <c r="AB749" s="1"/>
      <c r="AC749" s="1"/>
      <c r="AD749" s="1"/>
      <c r="AE749" s="1"/>
      <c r="AF749" s="1"/>
      <c r="AG749" s="1"/>
      <c r="AH749" s="1"/>
      <c r="AI749" s="1"/>
      <c r="AJ749" s="1"/>
      <c r="AK749" s="1"/>
    </row>
    <row r="750" ht="30.0" customHeight="1">
      <c r="A750" s="1"/>
      <c r="B750" s="1"/>
      <c r="C750" s="2"/>
      <c r="D750" s="2"/>
      <c r="E750" s="2"/>
      <c r="F750" s="2"/>
      <c r="G750" s="2"/>
      <c r="H750" s="2"/>
      <c r="I750" s="2"/>
      <c r="J750" s="2"/>
      <c r="K750" s="2"/>
      <c r="L750" s="2"/>
      <c r="M750" s="2"/>
      <c r="N750" s="1"/>
      <c r="O750" s="2"/>
      <c r="P750" s="2"/>
      <c r="Q750" s="2"/>
      <c r="R750" s="2"/>
      <c r="S750" s="2"/>
      <c r="T750" s="2"/>
      <c r="U750" s="2"/>
      <c r="V750" s="2"/>
      <c r="W750" s="2"/>
      <c r="X750" s="2"/>
      <c r="Y750" s="2"/>
      <c r="Z750" s="1"/>
      <c r="AA750" s="1"/>
      <c r="AB750" s="1"/>
      <c r="AC750" s="1"/>
      <c r="AD750" s="1"/>
      <c r="AE750" s="1"/>
      <c r="AF750" s="1"/>
      <c r="AG750" s="1"/>
      <c r="AH750" s="1"/>
      <c r="AI750" s="1"/>
      <c r="AJ750" s="1"/>
      <c r="AK750" s="1"/>
    </row>
    <row r="751" ht="30.0" customHeight="1">
      <c r="A751" s="1"/>
      <c r="B751" s="1"/>
      <c r="C751" s="2"/>
      <c r="D751" s="2"/>
      <c r="E751" s="2"/>
      <c r="F751" s="2"/>
      <c r="G751" s="2"/>
      <c r="H751" s="2"/>
      <c r="I751" s="2"/>
      <c r="J751" s="2"/>
      <c r="K751" s="2"/>
      <c r="L751" s="2"/>
      <c r="M751" s="2"/>
      <c r="N751" s="1"/>
      <c r="O751" s="2"/>
      <c r="P751" s="2"/>
      <c r="Q751" s="2"/>
      <c r="R751" s="2"/>
      <c r="S751" s="2"/>
      <c r="T751" s="2"/>
      <c r="U751" s="2"/>
      <c r="V751" s="2"/>
      <c r="W751" s="2"/>
      <c r="X751" s="2"/>
      <c r="Y751" s="2"/>
      <c r="Z751" s="1"/>
      <c r="AA751" s="1"/>
      <c r="AB751" s="1"/>
      <c r="AC751" s="1"/>
      <c r="AD751" s="1"/>
      <c r="AE751" s="1"/>
      <c r="AF751" s="1"/>
      <c r="AG751" s="1"/>
      <c r="AH751" s="1"/>
      <c r="AI751" s="1"/>
      <c r="AJ751" s="1"/>
      <c r="AK751" s="1"/>
    </row>
    <row r="752" ht="30.0" customHeight="1">
      <c r="A752" s="1"/>
      <c r="B752" s="1"/>
      <c r="C752" s="2"/>
      <c r="D752" s="2"/>
      <c r="E752" s="2"/>
      <c r="F752" s="2"/>
      <c r="G752" s="2"/>
      <c r="H752" s="2"/>
      <c r="I752" s="2"/>
      <c r="J752" s="2"/>
      <c r="K752" s="2"/>
      <c r="L752" s="2"/>
      <c r="M752" s="2"/>
      <c r="N752" s="1"/>
      <c r="O752" s="2"/>
      <c r="P752" s="2"/>
      <c r="Q752" s="2"/>
      <c r="R752" s="2"/>
      <c r="S752" s="2"/>
      <c r="T752" s="2"/>
      <c r="U752" s="2"/>
      <c r="V752" s="2"/>
      <c r="W752" s="2"/>
      <c r="X752" s="2"/>
      <c r="Y752" s="2"/>
      <c r="Z752" s="1"/>
      <c r="AA752" s="1"/>
      <c r="AB752" s="1"/>
      <c r="AC752" s="1"/>
      <c r="AD752" s="1"/>
      <c r="AE752" s="1"/>
      <c r="AF752" s="1"/>
      <c r="AG752" s="1"/>
      <c r="AH752" s="1"/>
      <c r="AI752" s="1"/>
      <c r="AJ752" s="1"/>
      <c r="AK752" s="1"/>
    </row>
    <row r="753" ht="30.0" customHeight="1">
      <c r="A753" s="1"/>
      <c r="B753" s="1"/>
      <c r="C753" s="2"/>
      <c r="D753" s="2"/>
      <c r="E753" s="2"/>
      <c r="F753" s="2"/>
      <c r="G753" s="2"/>
      <c r="H753" s="2"/>
      <c r="I753" s="2"/>
      <c r="J753" s="2"/>
      <c r="K753" s="2"/>
      <c r="L753" s="2"/>
      <c r="M753" s="2"/>
      <c r="N753" s="1"/>
      <c r="O753" s="2"/>
      <c r="P753" s="2"/>
      <c r="Q753" s="2"/>
      <c r="R753" s="2"/>
      <c r="S753" s="2"/>
      <c r="T753" s="2"/>
      <c r="U753" s="2"/>
      <c r="V753" s="2"/>
      <c r="W753" s="2"/>
      <c r="X753" s="2"/>
      <c r="Y753" s="2"/>
      <c r="Z753" s="1"/>
      <c r="AA753" s="1"/>
      <c r="AB753" s="1"/>
      <c r="AC753" s="1"/>
      <c r="AD753" s="1"/>
      <c r="AE753" s="1"/>
      <c r="AF753" s="1"/>
      <c r="AG753" s="1"/>
      <c r="AH753" s="1"/>
      <c r="AI753" s="1"/>
      <c r="AJ753" s="1"/>
      <c r="AK753" s="1"/>
    </row>
    <row r="754" ht="30.0" customHeight="1">
      <c r="A754" s="1"/>
      <c r="B754" s="1"/>
      <c r="C754" s="2"/>
      <c r="D754" s="2"/>
      <c r="E754" s="2"/>
      <c r="F754" s="2"/>
      <c r="G754" s="2"/>
      <c r="H754" s="2"/>
      <c r="I754" s="2"/>
      <c r="J754" s="2"/>
      <c r="K754" s="2"/>
      <c r="L754" s="2"/>
      <c r="M754" s="2"/>
      <c r="N754" s="1"/>
      <c r="O754" s="2"/>
      <c r="P754" s="2"/>
      <c r="Q754" s="2"/>
      <c r="R754" s="2"/>
      <c r="S754" s="2"/>
      <c r="T754" s="2"/>
      <c r="U754" s="2"/>
      <c r="V754" s="2"/>
      <c r="W754" s="2"/>
      <c r="X754" s="2"/>
      <c r="Y754" s="2"/>
      <c r="Z754" s="1"/>
      <c r="AA754" s="1"/>
      <c r="AB754" s="1"/>
      <c r="AC754" s="1"/>
      <c r="AD754" s="1"/>
      <c r="AE754" s="1"/>
      <c r="AF754" s="1"/>
      <c r="AG754" s="1"/>
      <c r="AH754" s="1"/>
      <c r="AI754" s="1"/>
      <c r="AJ754" s="1"/>
      <c r="AK754" s="1"/>
    </row>
    <row r="755" ht="30.0" customHeight="1">
      <c r="A755" s="1"/>
      <c r="B755" s="1"/>
      <c r="C755" s="2"/>
      <c r="D755" s="2"/>
      <c r="E755" s="2"/>
      <c r="F755" s="2"/>
      <c r="G755" s="2"/>
      <c r="H755" s="2"/>
      <c r="I755" s="2"/>
      <c r="J755" s="2"/>
      <c r="K755" s="2"/>
      <c r="L755" s="2"/>
      <c r="M755" s="2"/>
      <c r="N755" s="1"/>
      <c r="O755" s="2"/>
      <c r="P755" s="2"/>
      <c r="Q755" s="2"/>
      <c r="R755" s="2"/>
      <c r="S755" s="2"/>
      <c r="T755" s="2"/>
      <c r="U755" s="2"/>
      <c r="V755" s="2"/>
      <c r="W755" s="2"/>
      <c r="X755" s="2"/>
      <c r="Y755" s="2"/>
      <c r="Z755" s="1"/>
      <c r="AA755" s="1"/>
      <c r="AB755" s="1"/>
      <c r="AC755" s="1"/>
      <c r="AD755" s="1"/>
      <c r="AE755" s="1"/>
      <c r="AF755" s="1"/>
      <c r="AG755" s="1"/>
      <c r="AH755" s="1"/>
      <c r="AI755" s="1"/>
      <c r="AJ755" s="1"/>
      <c r="AK755" s="1"/>
    </row>
    <row r="756" ht="30.0" customHeight="1">
      <c r="A756" s="1"/>
      <c r="B756" s="1"/>
      <c r="C756" s="2"/>
      <c r="D756" s="2"/>
      <c r="E756" s="2"/>
      <c r="F756" s="2"/>
      <c r="G756" s="2"/>
      <c r="H756" s="2"/>
      <c r="I756" s="2"/>
      <c r="J756" s="2"/>
      <c r="K756" s="2"/>
      <c r="L756" s="2"/>
      <c r="M756" s="2"/>
      <c r="N756" s="1"/>
      <c r="O756" s="2"/>
      <c r="P756" s="2"/>
      <c r="Q756" s="2"/>
      <c r="R756" s="2"/>
      <c r="S756" s="2"/>
      <c r="T756" s="2"/>
      <c r="U756" s="2"/>
      <c r="V756" s="2"/>
      <c r="W756" s="2"/>
      <c r="X756" s="2"/>
      <c r="Y756" s="2"/>
      <c r="Z756" s="1"/>
      <c r="AA756" s="1"/>
      <c r="AB756" s="1"/>
      <c r="AC756" s="1"/>
      <c r="AD756" s="1"/>
      <c r="AE756" s="1"/>
      <c r="AF756" s="1"/>
      <c r="AG756" s="1"/>
      <c r="AH756" s="1"/>
      <c r="AI756" s="1"/>
      <c r="AJ756" s="1"/>
      <c r="AK756" s="1"/>
    </row>
    <row r="757" ht="30.0" customHeight="1">
      <c r="A757" s="1"/>
      <c r="B757" s="1"/>
      <c r="C757" s="2"/>
      <c r="D757" s="2"/>
      <c r="E757" s="2"/>
      <c r="F757" s="2"/>
      <c r="G757" s="2"/>
      <c r="H757" s="2"/>
      <c r="I757" s="2"/>
      <c r="J757" s="2"/>
      <c r="K757" s="2"/>
      <c r="L757" s="2"/>
      <c r="M757" s="2"/>
      <c r="N757" s="1"/>
      <c r="O757" s="2"/>
      <c r="P757" s="2"/>
      <c r="Q757" s="2"/>
      <c r="R757" s="2"/>
      <c r="S757" s="2"/>
      <c r="T757" s="2"/>
      <c r="U757" s="2"/>
      <c r="V757" s="2"/>
      <c r="W757" s="2"/>
      <c r="X757" s="2"/>
      <c r="Y757" s="2"/>
      <c r="Z757" s="1"/>
      <c r="AA757" s="1"/>
      <c r="AB757" s="1"/>
      <c r="AC757" s="1"/>
      <c r="AD757" s="1"/>
      <c r="AE757" s="1"/>
      <c r="AF757" s="1"/>
      <c r="AG757" s="1"/>
      <c r="AH757" s="1"/>
      <c r="AI757" s="1"/>
      <c r="AJ757" s="1"/>
      <c r="AK757" s="1"/>
    </row>
    <row r="758" ht="30.0" customHeight="1">
      <c r="A758" s="1"/>
      <c r="B758" s="1"/>
      <c r="C758" s="2"/>
      <c r="D758" s="2"/>
      <c r="E758" s="2"/>
      <c r="F758" s="2"/>
      <c r="G758" s="2"/>
      <c r="H758" s="2"/>
      <c r="I758" s="2"/>
      <c r="J758" s="2"/>
      <c r="K758" s="2"/>
      <c r="L758" s="2"/>
      <c r="M758" s="2"/>
      <c r="N758" s="1"/>
      <c r="O758" s="2"/>
      <c r="P758" s="2"/>
      <c r="Q758" s="2"/>
      <c r="R758" s="2"/>
      <c r="S758" s="2"/>
      <c r="T758" s="2"/>
      <c r="U758" s="2"/>
      <c r="V758" s="2"/>
      <c r="W758" s="2"/>
      <c r="X758" s="2"/>
      <c r="Y758" s="2"/>
      <c r="Z758" s="1"/>
      <c r="AA758" s="1"/>
      <c r="AB758" s="1"/>
      <c r="AC758" s="1"/>
      <c r="AD758" s="1"/>
      <c r="AE758" s="1"/>
      <c r="AF758" s="1"/>
      <c r="AG758" s="1"/>
      <c r="AH758" s="1"/>
      <c r="AI758" s="1"/>
      <c r="AJ758" s="1"/>
      <c r="AK758" s="1"/>
    </row>
    <row r="759" ht="30.0" customHeight="1">
      <c r="A759" s="1"/>
      <c r="B759" s="1"/>
      <c r="C759" s="2"/>
      <c r="D759" s="2"/>
      <c r="E759" s="2"/>
      <c r="F759" s="2"/>
      <c r="G759" s="2"/>
      <c r="H759" s="2"/>
      <c r="I759" s="2"/>
      <c r="J759" s="2"/>
      <c r="K759" s="2"/>
      <c r="L759" s="2"/>
      <c r="M759" s="2"/>
      <c r="N759" s="1"/>
      <c r="O759" s="2"/>
      <c r="P759" s="2"/>
      <c r="Q759" s="2"/>
      <c r="R759" s="2"/>
      <c r="S759" s="2"/>
      <c r="T759" s="2"/>
      <c r="U759" s="2"/>
      <c r="V759" s="2"/>
      <c r="W759" s="2"/>
      <c r="X759" s="2"/>
      <c r="Y759" s="2"/>
      <c r="Z759" s="1"/>
      <c r="AA759" s="1"/>
      <c r="AB759" s="1"/>
      <c r="AC759" s="1"/>
      <c r="AD759" s="1"/>
      <c r="AE759" s="1"/>
      <c r="AF759" s="1"/>
      <c r="AG759" s="1"/>
      <c r="AH759" s="1"/>
      <c r="AI759" s="1"/>
      <c r="AJ759" s="1"/>
      <c r="AK759" s="1"/>
    </row>
    <row r="760" ht="30.0" customHeight="1">
      <c r="A760" s="1"/>
      <c r="B760" s="1"/>
      <c r="C760" s="2"/>
      <c r="D760" s="2"/>
      <c r="E760" s="2"/>
      <c r="F760" s="2"/>
      <c r="G760" s="2"/>
      <c r="H760" s="2"/>
      <c r="I760" s="2"/>
      <c r="J760" s="2"/>
      <c r="K760" s="2"/>
      <c r="L760" s="2"/>
      <c r="M760" s="2"/>
      <c r="N760" s="1"/>
      <c r="O760" s="2"/>
      <c r="P760" s="2"/>
      <c r="Q760" s="2"/>
      <c r="R760" s="2"/>
      <c r="S760" s="2"/>
      <c r="T760" s="2"/>
      <c r="U760" s="2"/>
      <c r="V760" s="2"/>
      <c r="W760" s="2"/>
      <c r="X760" s="2"/>
      <c r="Y760" s="2"/>
      <c r="Z760" s="1"/>
      <c r="AA760" s="1"/>
      <c r="AB760" s="1"/>
      <c r="AC760" s="1"/>
      <c r="AD760" s="1"/>
      <c r="AE760" s="1"/>
      <c r="AF760" s="1"/>
      <c r="AG760" s="1"/>
      <c r="AH760" s="1"/>
      <c r="AI760" s="1"/>
      <c r="AJ760" s="1"/>
      <c r="AK760" s="1"/>
    </row>
    <row r="761" ht="30.0" customHeight="1">
      <c r="A761" s="1"/>
      <c r="B761" s="1"/>
      <c r="C761" s="2"/>
      <c r="D761" s="2"/>
      <c r="E761" s="2"/>
      <c r="F761" s="2"/>
      <c r="G761" s="2"/>
      <c r="H761" s="2"/>
      <c r="I761" s="2"/>
      <c r="J761" s="2"/>
      <c r="K761" s="2"/>
      <c r="L761" s="2"/>
      <c r="M761" s="2"/>
      <c r="N761" s="1"/>
      <c r="O761" s="2"/>
      <c r="P761" s="2"/>
      <c r="Q761" s="2"/>
      <c r="R761" s="2"/>
      <c r="S761" s="2"/>
      <c r="T761" s="2"/>
      <c r="U761" s="2"/>
      <c r="V761" s="2"/>
      <c r="W761" s="2"/>
      <c r="X761" s="2"/>
      <c r="Y761" s="2"/>
      <c r="Z761" s="1"/>
      <c r="AA761" s="1"/>
      <c r="AB761" s="1"/>
      <c r="AC761" s="1"/>
      <c r="AD761" s="1"/>
      <c r="AE761" s="1"/>
      <c r="AF761" s="1"/>
      <c r="AG761" s="1"/>
      <c r="AH761" s="1"/>
      <c r="AI761" s="1"/>
      <c r="AJ761" s="1"/>
      <c r="AK761" s="1"/>
    </row>
    <row r="762" ht="30.0" customHeight="1">
      <c r="A762" s="1"/>
      <c r="B762" s="1"/>
      <c r="C762" s="2"/>
      <c r="D762" s="2"/>
      <c r="E762" s="2"/>
      <c r="F762" s="2"/>
      <c r="G762" s="2"/>
      <c r="H762" s="2"/>
      <c r="I762" s="2"/>
      <c r="J762" s="2"/>
      <c r="K762" s="2"/>
      <c r="L762" s="2"/>
      <c r="M762" s="2"/>
      <c r="N762" s="1"/>
      <c r="O762" s="2"/>
      <c r="P762" s="2"/>
      <c r="Q762" s="2"/>
      <c r="R762" s="2"/>
      <c r="S762" s="2"/>
      <c r="T762" s="2"/>
      <c r="U762" s="2"/>
      <c r="V762" s="2"/>
      <c r="W762" s="2"/>
      <c r="X762" s="2"/>
      <c r="Y762" s="2"/>
      <c r="Z762" s="1"/>
      <c r="AA762" s="1"/>
      <c r="AB762" s="1"/>
      <c r="AC762" s="1"/>
      <c r="AD762" s="1"/>
      <c r="AE762" s="1"/>
      <c r="AF762" s="1"/>
      <c r="AG762" s="1"/>
      <c r="AH762" s="1"/>
      <c r="AI762" s="1"/>
      <c r="AJ762" s="1"/>
      <c r="AK762" s="1"/>
    </row>
    <row r="763" ht="30.0" customHeight="1">
      <c r="A763" s="1"/>
      <c r="B763" s="1"/>
      <c r="C763" s="2"/>
      <c r="D763" s="2"/>
      <c r="E763" s="2"/>
      <c r="F763" s="2"/>
      <c r="G763" s="2"/>
      <c r="H763" s="2"/>
      <c r="I763" s="2"/>
      <c r="J763" s="2"/>
      <c r="K763" s="2"/>
      <c r="L763" s="2"/>
      <c r="M763" s="2"/>
      <c r="N763" s="1"/>
      <c r="O763" s="2"/>
      <c r="P763" s="2"/>
      <c r="Q763" s="2"/>
      <c r="R763" s="2"/>
      <c r="S763" s="2"/>
      <c r="T763" s="2"/>
      <c r="U763" s="2"/>
      <c r="V763" s="2"/>
      <c r="W763" s="2"/>
      <c r="X763" s="2"/>
      <c r="Y763" s="2"/>
      <c r="Z763" s="1"/>
      <c r="AA763" s="1"/>
      <c r="AB763" s="1"/>
      <c r="AC763" s="1"/>
      <c r="AD763" s="1"/>
      <c r="AE763" s="1"/>
      <c r="AF763" s="1"/>
      <c r="AG763" s="1"/>
      <c r="AH763" s="1"/>
      <c r="AI763" s="1"/>
      <c r="AJ763" s="1"/>
      <c r="AK763" s="1"/>
    </row>
    <row r="764" ht="30.0" customHeight="1">
      <c r="A764" s="1"/>
      <c r="B764" s="1"/>
      <c r="C764" s="2"/>
      <c r="D764" s="2"/>
      <c r="E764" s="2"/>
      <c r="F764" s="2"/>
      <c r="G764" s="2"/>
      <c r="H764" s="2"/>
      <c r="I764" s="2"/>
      <c r="J764" s="2"/>
      <c r="K764" s="2"/>
      <c r="L764" s="2"/>
      <c r="M764" s="2"/>
      <c r="N764" s="1"/>
      <c r="O764" s="2"/>
      <c r="P764" s="2"/>
      <c r="Q764" s="2"/>
      <c r="R764" s="2"/>
      <c r="S764" s="2"/>
      <c r="T764" s="2"/>
      <c r="U764" s="2"/>
      <c r="V764" s="2"/>
      <c r="W764" s="2"/>
      <c r="X764" s="2"/>
      <c r="Y764" s="2"/>
      <c r="Z764" s="1"/>
      <c r="AA764" s="1"/>
      <c r="AB764" s="1"/>
      <c r="AC764" s="1"/>
      <c r="AD764" s="1"/>
      <c r="AE764" s="1"/>
      <c r="AF764" s="1"/>
      <c r="AG764" s="1"/>
      <c r="AH764" s="1"/>
      <c r="AI764" s="1"/>
      <c r="AJ764" s="1"/>
      <c r="AK764" s="1"/>
    </row>
    <row r="765" ht="30.0" customHeight="1">
      <c r="A765" s="1"/>
      <c r="B765" s="1"/>
      <c r="C765" s="2"/>
      <c r="D765" s="2"/>
      <c r="E765" s="2"/>
      <c r="F765" s="2"/>
      <c r="G765" s="2"/>
      <c r="H765" s="2"/>
      <c r="I765" s="2"/>
      <c r="J765" s="2"/>
      <c r="K765" s="2"/>
      <c r="L765" s="2"/>
      <c r="M765" s="2"/>
      <c r="N765" s="1"/>
      <c r="O765" s="2"/>
      <c r="P765" s="2"/>
      <c r="Q765" s="2"/>
      <c r="R765" s="2"/>
      <c r="S765" s="2"/>
      <c r="T765" s="2"/>
      <c r="U765" s="2"/>
      <c r="V765" s="2"/>
      <c r="W765" s="2"/>
      <c r="X765" s="2"/>
      <c r="Y765" s="2"/>
      <c r="Z765" s="1"/>
      <c r="AA765" s="1"/>
      <c r="AB765" s="1"/>
      <c r="AC765" s="1"/>
      <c r="AD765" s="1"/>
      <c r="AE765" s="1"/>
      <c r="AF765" s="1"/>
      <c r="AG765" s="1"/>
      <c r="AH765" s="1"/>
      <c r="AI765" s="1"/>
      <c r="AJ765" s="1"/>
      <c r="AK765" s="1"/>
    </row>
    <row r="766" ht="30.0" customHeight="1">
      <c r="A766" s="1"/>
      <c r="B766" s="1"/>
      <c r="C766" s="2"/>
      <c r="D766" s="2"/>
      <c r="E766" s="2"/>
      <c r="F766" s="2"/>
      <c r="G766" s="2"/>
      <c r="H766" s="2"/>
      <c r="I766" s="2"/>
      <c r="J766" s="2"/>
      <c r="K766" s="2"/>
      <c r="L766" s="2"/>
      <c r="M766" s="2"/>
      <c r="N766" s="1"/>
      <c r="O766" s="2"/>
      <c r="P766" s="2"/>
      <c r="Q766" s="2"/>
      <c r="R766" s="2"/>
      <c r="S766" s="2"/>
      <c r="T766" s="2"/>
      <c r="U766" s="2"/>
      <c r="V766" s="2"/>
      <c r="W766" s="2"/>
      <c r="X766" s="2"/>
      <c r="Y766" s="2"/>
      <c r="Z766" s="1"/>
      <c r="AA766" s="1"/>
      <c r="AB766" s="1"/>
      <c r="AC766" s="1"/>
      <c r="AD766" s="1"/>
      <c r="AE766" s="1"/>
      <c r="AF766" s="1"/>
      <c r="AG766" s="1"/>
      <c r="AH766" s="1"/>
      <c r="AI766" s="1"/>
      <c r="AJ766" s="1"/>
      <c r="AK766" s="1"/>
    </row>
    <row r="767" ht="30.0" customHeight="1">
      <c r="A767" s="1"/>
      <c r="B767" s="1"/>
      <c r="C767" s="2"/>
      <c r="D767" s="2"/>
      <c r="E767" s="2"/>
      <c r="F767" s="2"/>
      <c r="G767" s="2"/>
      <c r="H767" s="2"/>
      <c r="I767" s="2"/>
      <c r="J767" s="2"/>
      <c r="K767" s="2"/>
      <c r="L767" s="2"/>
      <c r="M767" s="2"/>
      <c r="N767" s="1"/>
      <c r="O767" s="2"/>
      <c r="P767" s="2"/>
      <c r="Q767" s="2"/>
      <c r="R767" s="2"/>
      <c r="S767" s="2"/>
      <c r="T767" s="2"/>
      <c r="U767" s="2"/>
      <c r="V767" s="2"/>
      <c r="W767" s="2"/>
      <c r="X767" s="2"/>
      <c r="Y767" s="2"/>
      <c r="Z767" s="1"/>
      <c r="AA767" s="1"/>
      <c r="AB767" s="1"/>
      <c r="AC767" s="1"/>
      <c r="AD767" s="1"/>
      <c r="AE767" s="1"/>
      <c r="AF767" s="1"/>
      <c r="AG767" s="1"/>
      <c r="AH767" s="1"/>
      <c r="AI767" s="1"/>
      <c r="AJ767" s="1"/>
      <c r="AK767" s="1"/>
    </row>
    <row r="768" ht="30.0" customHeight="1">
      <c r="A768" s="1"/>
      <c r="B768" s="1"/>
      <c r="C768" s="2"/>
      <c r="D768" s="2"/>
      <c r="E768" s="2"/>
      <c r="F768" s="2"/>
      <c r="G768" s="2"/>
      <c r="H768" s="2"/>
      <c r="I768" s="2"/>
      <c r="J768" s="2"/>
      <c r="K768" s="2"/>
      <c r="L768" s="2"/>
      <c r="M768" s="2"/>
      <c r="N768" s="1"/>
      <c r="O768" s="2"/>
      <c r="P768" s="2"/>
      <c r="Q768" s="2"/>
      <c r="R768" s="2"/>
      <c r="S768" s="2"/>
      <c r="T768" s="2"/>
      <c r="U768" s="2"/>
      <c r="V768" s="2"/>
      <c r="W768" s="2"/>
      <c r="X768" s="2"/>
      <c r="Y768" s="2"/>
      <c r="Z768" s="1"/>
      <c r="AA768" s="1"/>
      <c r="AB768" s="1"/>
      <c r="AC768" s="1"/>
      <c r="AD768" s="1"/>
      <c r="AE768" s="1"/>
      <c r="AF768" s="1"/>
      <c r="AG768" s="1"/>
      <c r="AH768" s="1"/>
      <c r="AI768" s="1"/>
      <c r="AJ768" s="1"/>
      <c r="AK768" s="1"/>
    </row>
    <row r="769" ht="30.0" customHeight="1">
      <c r="A769" s="1"/>
      <c r="B769" s="1"/>
      <c r="C769" s="2"/>
      <c r="D769" s="2"/>
      <c r="E769" s="2"/>
      <c r="F769" s="2"/>
      <c r="G769" s="2"/>
      <c r="H769" s="2"/>
      <c r="I769" s="2"/>
      <c r="J769" s="2"/>
      <c r="K769" s="2"/>
      <c r="L769" s="2"/>
      <c r="M769" s="2"/>
      <c r="N769" s="1"/>
      <c r="O769" s="2"/>
      <c r="P769" s="2"/>
      <c r="Q769" s="2"/>
      <c r="R769" s="2"/>
      <c r="S769" s="2"/>
      <c r="T769" s="2"/>
      <c r="U769" s="2"/>
      <c r="V769" s="2"/>
      <c r="W769" s="2"/>
      <c r="X769" s="2"/>
      <c r="Y769" s="2"/>
      <c r="Z769" s="1"/>
      <c r="AA769" s="1"/>
      <c r="AB769" s="1"/>
      <c r="AC769" s="1"/>
      <c r="AD769" s="1"/>
      <c r="AE769" s="1"/>
      <c r="AF769" s="1"/>
      <c r="AG769" s="1"/>
      <c r="AH769" s="1"/>
      <c r="AI769" s="1"/>
      <c r="AJ769" s="1"/>
      <c r="AK769" s="1"/>
    </row>
    <row r="770" ht="30.0" customHeight="1">
      <c r="A770" s="1"/>
      <c r="B770" s="1"/>
      <c r="C770" s="2"/>
      <c r="D770" s="2"/>
      <c r="E770" s="2"/>
      <c r="F770" s="2"/>
      <c r="G770" s="2"/>
      <c r="H770" s="2"/>
      <c r="I770" s="2"/>
      <c r="J770" s="2"/>
      <c r="K770" s="2"/>
      <c r="L770" s="2"/>
      <c r="M770" s="2"/>
      <c r="N770" s="1"/>
      <c r="O770" s="2"/>
      <c r="P770" s="2"/>
      <c r="Q770" s="2"/>
      <c r="R770" s="2"/>
      <c r="S770" s="2"/>
      <c r="T770" s="2"/>
      <c r="U770" s="2"/>
      <c r="V770" s="2"/>
      <c r="W770" s="2"/>
      <c r="X770" s="2"/>
      <c r="Y770" s="2"/>
      <c r="Z770" s="1"/>
      <c r="AA770" s="1"/>
      <c r="AB770" s="1"/>
      <c r="AC770" s="1"/>
      <c r="AD770" s="1"/>
      <c r="AE770" s="1"/>
      <c r="AF770" s="1"/>
      <c r="AG770" s="1"/>
      <c r="AH770" s="1"/>
      <c r="AI770" s="1"/>
      <c r="AJ770" s="1"/>
      <c r="AK770" s="1"/>
    </row>
    <row r="771" ht="30.0" customHeight="1">
      <c r="A771" s="1"/>
      <c r="B771" s="1"/>
      <c r="C771" s="2"/>
      <c r="D771" s="2"/>
      <c r="E771" s="2"/>
      <c r="F771" s="2"/>
      <c r="G771" s="2"/>
      <c r="H771" s="2"/>
      <c r="I771" s="2"/>
      <c r="J771" s="2"/>
      <c r="K771" s="2"/>
      <c r="L771" s="2"/>
      <c r="M771" s="2"/>
      <c r="N771" s="1"/>
      <c r="O771" s="2"/>
      <c r="P771" s="2"/>
      <c r="Q771" s="2"/>
      <c r="R771" s="2"/>
      <c r="S771" s="2"/>
      <c r="T771" s="2"/>
      <c r="U771" s="2"/>
      <c r="V771" s="2"/>
      <c r="W771" s="2"/>
      <c r="X771" s="2"/>
      <c r="Y771" s="2"/>
      <c r="Z771" s="1"/>
      <c r="AA771" s="1"/>
      <c r="AB771" s="1"/>
      <c r="AC771" s="1"/>
      <c r="AD771" s="1"/>
      <c r="AE771" s="1"/>
      <c r="AF771" s="1"/>
      <c r="AG771" s="1"/>
      <c r="AH771" s="1"/>
      <c r="AI771" s="1"/>
      <c r="AJ771" s="1"/>
      <c r="AK771" s="1"/>
    </row>
    <row r="772" ht="30.0" customHeight="1">
      <c r="A772" s="1"/>
      <c r="B772" s="1"/>
      <c r="C772" s="2"/>
      <c r="D772" s="2"/>
      <c r="E772" s="2"/>
      <c r="F772" s="2"/>
      <c r="G772" s="2"/>
      <c r="H772" s="2"/>
      <c r="I772" s="2"/>
      <c r="J772" s="2"/>
      <c r="K772" s="2"/>
      <c r="L772" s="2"/>
      <c r="M772" s="2"/>
      <c r="N772" s="1"/>
      <c r="O772" s="2"/>
      <c r="P772" s="2"/>
      <c r="Q772" s="2"/>
      <c r="R772" s="2"/>
      <c r="S772" s="2"/>
      <c r="T772" s="2"/>
      <c r="U772" s="2"/>
      <c r="V772" s="2"/>
      <c r="W772" s="2"/>
      <c r="X772" s="2"/>
      <c r="Y772" s="2"/>
      <c r="Z772" s="1"/>
      <c r="AA772" s="1"/>
      <c r="AB772" s="1"/>
      <c r="AC772" s="1"/>
      <c r="AD772" s="1"/>
      <c r="AE772" s="1"/>
      <c r="AF772" s="1"/>
      <c r="AG772" s="1"/>
      <c r="AH772" s="1"/>
      <c r="AI772" s="1"/>
      <c r="AJ772" s="1"/>
      <c r="AK772" s="1"/>
    </row>
    <row r="773" ht="30.0" customHeight="1">
      <c r="A773" s="1"/>
      <c r="B773" s="1"/>
      <c r="C773" s="2"/>
      <c r="D773" s="2"/>
      <c r="E773" s="2"/>
      <c r="F773" s="2"/>
      <c r="G773" s="2"/>
      <c r="H773" s="2"/>
      <c r="I773" s="2"/>
      <c r="J773" s="2"/>
      <c r="K773" s="2"/>
      <c r="L773" s="2"/>
      <c r="M773" s="2"/>
      <c r="N773" s="1"/>
      <c r="O773" s="2"/>
      <c r="P773" s="2"/>
      <c r="Q773" s="2"/>
      <c r="R773" s="2"/>
      <c r="S773" s="2"/>
      <c r="T773" s="2"/>
      <c r="U773" s="2"/>
      <c r="V773" s="2"/>
      <c r="W773" s="2"/>
      <c r="X773" s="2"/>
      <c r="Y773" s="2"/>
      <c r="Z773" s="1"/>
      <c r="AA773" s="1"/>
      <c r="AB773" s="1"/>
      <c r="AC773" s="1"/>
      <c r="AD773" s="1"/>
      <c r="AE773" s="1"/>
      <c r="AF773" s="1"/>
      <c r="AG773" s="1"/>
      <c r="AH773" s="1"/>
      <c r="AI773" s="1"/>
      <c r="AJ773" s="1"/>
      <c r="AK773" s="1"/>
    </row>
    <row r="774" ht="30.0" customHeight="1">
      <c r="A774" s="1"/>
      <c r="B774" s="1"/>
      <c r="C774" s="2"/>
      <c r="D774" s="2"/>
      <c r="E774" s="2"/>
      <c r="F774" s="2"/>
      <c r="G774" s="2"/>
      <c r="H774" s="2"/>
      <c r="I774" s="2"/>
      <c r="J774" s="2"/>
      <c r="K774" s="2"/>
      <c r="L774" s="2"/>
      <c r="M774" s="2"/>
      <c r="N774" s="1"/>
      <c r="O774" s="2"/>
      <c r="P774" s="2"/>
      <c r="Q774" s="2"/>
      <c r="R774" s="2"/>
      <c r="S774" s="2"/>
      <c r="T774" s="2"/>
      <c r="U774" s="2"/>
      <c r="V774" s="2"/>
      <c r="W774" s="2"/>
      <c r="X774" s="2"/>
      <c r="Y774" s="2"/>
      <c r="Z774" s="1"/>
      <c r="AA774" s="1"/>
      <c r="AB774" s="1"/>
      <c r="AC774" s="1"/>
      <c r="AD774" s="1"/>
      <c r="AE774" s="1"/>
      <c r="AF774" s="1"/>
      <c r="AG774" s="1"/>
      <c r="AH774" s="1"/>
      <c r="AI774" s="1"/>
      <c r="AJ774" s="1"/>
      <c r="AK774" s="1"/>
    </row>
    <row r="775" ht="30.0" customHeight="1">
      <c r="A775" s="1"/>
      <c r="B775" s="1"/>
      <c r="C775" s="2"/>
      <c r="D775" s="2"/>
      <c r="E775" s="2"/>
      <c r="F775" s="2"/>
      <c r="G775" s="2"/>
      <c r="H775" s="2"/>
      <c r="I775" s="2"/>
      <c r="J775" s="2"/>
      <c r="K775" s="2"/>
      <c r="L775" s="2"/>
      <c r="M775" s="2"/>
      <c r="N775" s="1"/>
      <c r="O775" s="2"/>
      <c r="P775" s="2"/>
      <c r="Q775" s="2"/>
      <c r="R775" s="2"/>
      <c r="S775" s="2"/>
      <c r="T775" s="2"/>
      <c r="U775" s="2"/>
      <c r="V775" s="2"/>
      <c r="W775" s="2"/>
      <c r="X775" s="2"/>
      <c r="Y775" s="2"/>
      <c r="Z775" s="1"/>
      <c r="AA775" s="1"/>
      <c r="AB775" s="1"/>
      <c r="AC775" s="1"/>
      <c r="AD775" s="1"/>
      <c r="AE775" s="1"/>
      <c r="AF775" s="1"/>
      <c r="AG775" s="1"/>
      <c r="AH775" s="1"/>
      <c r="AI775" s="1"/>
      <c r="AJ775" s="1"/>
      <c r="AK775" s="1"/>
    </row>
    <row r="776" ht="30.0" customHeight="1">
      <c r="A776" s="1"/>
      <c r="B776" s="1"/>
      <c r="C776" s="2"/>
      <c r="D776" s="2"/>
      <c r="E776" s="2"/>
      <c r="F776" s="2"/>
      <c r="G776" s="2"/>
      <c r="H776" s="2"/>
      <c r="I776" s="2"/>
      <c r="J776" s="2"/>
      <c r="K776" s="2"/>
      <c r="L776" s="2"/>
      <c r="M776" s="2"/>
      <c r="N776" s="1"/>
      <c r="O776" s="2"/>
      <c r="P776" s="2"/>
      <c r="Q776" s="2"/>
      <c r="R776" s="2"/>
      <c r="S776" s="2"/>
      <c r="T776" s="2"/>
      <c r="U776" s="2"/>
      <c r="V776" s="2"/>
      <c r="W776" s="2"/>
      <c r="X776" s="2"/>
      <c r="Y776" s="2"/>
      <c r="Z776" s="1"/>
      <c r="AA776" s="1"/>
      <c r="AB776" s="1"/>
      <c r="AC776" s="1"/>
      <c r="AD776" s="1"/>
      <c r="AE776" s="1"/>
      <c r="AF776" s="1"/>
      <c r="AG776" s="1"/>
      <c r="AH776" s="1"/>
      <c r="AI776" s="1"/>
      <c r="AJ776" s="1"/>
      <c r="AK776" s="1"/>
    </row>
    <row r="777" ht="30.0" customHeight="1">
      <c r="A777" s="1"/>
      <c r="B777" s="1"/>
      <c r="C777" s="2"/>
      <c r="D777" s="2"/>
      <c r="E777" s="2"/>
      <c r="F777" s="2"/>
      <c r="G777" s="2"/>
      <c r="H777" s="2"/>
      <c r="I777" s="2"/>
      <c r="J777" s="2"/>
      <c r="K777" s="2"/>
      <c r="L777" s="2"/>
      <c r="M777" s="2"/>
      <c r="N777" s="1"/>
      <c r="O777" s="2"/>
      <c r="P777" s="2"/>
      <c r="Q777" s="2"/>
      <c r="R777" s="2"/>
      <c r="S777" s="2"/>
      <c r="T777" s="2"/>
      <c r="U777" s="2"/>
      <c r="V777" s="2"/>
      <c r="W777" s="2"/>
      <c r="X777" s="2"/>
      <c r="Y777" s="2"/>
      <c r="Z777" s="1"/>
      <c r="AA777" s="1"/>
      <c r="AB777" s="1"/>
      <c r="AC777" s="1"/>
      <c r="AD777" s="1"/>
      <c r="AE777" s="1"/>
      <c r="AF777" s="1"/>
      <c r="AG777" s="1"/>
      <c r="AH777" s="1"/>
      <c r="AI777" s="1"/>
      <c r="AJ777" s="1"/>
      <c r="AK777" s="1"/>
    </row>
    <row r="778" ht="30.0" customHeight="1">
      <c r="A778" s="1"/>
      <c r="B778" s="1"/>
      <c r="C778" s="2"/>
      <c r="D778" s="2"/>
      <c r="E778" s="2"/>
      <c r="F778" s="2"/>
      <c r="G778" s="2"/>
      <c r="H778" s="2"/>
      <c r="I778" s="2"/>
      <c r="J778" s="2"/>
      <c r="K778" s="2"/>
      <c r="L778" s="2"/>
      <c r="M778" s="2"/>
      <c r="N778" s="1"/>
      <c r="O778" s="2"/>
      <c r="P778" s="2"/>
      <c r="Q778" s="2"/>
      <c r="R778" s="2"/>
      <c r="S778" s="2"/>
      <c r="T778" s="2"/>
      <c r="U778" s="2"/>
      <c r="V778" s="2"/>
      <c r="W778" s="2"/>
      <c r="X778" s="2"/>
      <c r="Y778" s="2"/>
      <c r="Z778" s="1"/>
      <c r="AA778" s="1"/>
      <c r="AB778" s="1"/>
      <c r="AC778" s="1"/>
      <c r="AD778" s="1"/>
      <c r="AE778" s="1"/>
      <c r="AF778" s="1"/>
      <c r="AG778" s="1"/>
      <c r="AH778" s="1"/>
      <c r="AI778" s="1"/>
      <c r="AJ778" s="1"/>
      <c r="AK778" s="1"/>
    </row>
    <row r="779" ht="30.0" customHeight="1">
      <c r="A779" s="1"/>
      <c r="B779" s="1"/>
      <c r="C779" s="2"/>
      <c r="D779" s="2"/>
      <c r="E779" s="2"/>
      <c r="F779" s="2"/>
      <c r="G779" s="2"/>
      <c r="H779" s="2"/>
      <c r="I779" s="2"/>
      <c r="J779" s="2"/>
      <c r="K779" s="2"/>
      <c r="L779" s="2"/>
      <c r="M779" s="2"/>
      <c r="N779" s="1"/>
      <c r="O779" s="2"/>
      <c r="P779" s="2"/>
      <c r="Q779" s="2"/>
      <c r="R779" s="2"/>
      <c r="S779" s="2"/>
      <c r="T779" s="2"/>
      <c r="U779" s="2"/>
      <c r="V779" s="2"/>
      <c r="W779" s="2"/>
      <c r="X779" s="2"/>
      <c r="Y779" s="2"/>
      <c r="Z779" s="1"/>
      <c r="AA779" s="1"/>
      <c r="AB779" s="1"/>
      <c r="AC779" s="1"/>
      <c r="AD779" s="1"/>
      <c r="AE779" s="1"/>
      <c r="AF779" s="1"/>
      <c r="AG779" s="1"/>
      <c r="AH779" s="1"/>
      <c r="AI779" s="1"/>
      <c r="AJ779" s="1"/>
      <c r="AK779" s="1"/>
    </row>
    <row r="780" ht="30.0" customHeight="1">
      <c r="A780" s="1"/>
      <c r="B780" s="1"/>
      <c r="C780" s="2"/>
      <c r="D780" s="2"/>
      <c r="E780" s="2"/>
      <c r="F780" s="2"/>
      <c r="G780" s="2"/>
      <c r="H780" s="2"/>
      <c r="I780" s="2"/>
      <c r="J780" s="2"/>
      <c r="K780" s="2"/>
      <c r="L780" s="2"/>
      <c r="M780" s="2"/>
      <c r="N780" s="1"/>
      <c r="O780" s="2"/>
      <c r="P780" s="2"/>
      <c r="Q780" s="2"/>
      <c r="R780" s="2"/>
      <c r="S780" s="2"/>
      <c r="T780" s="2"/>
      <c r="U780" s="2"/>
      <c r="V780" s="2"/>
      <c r="W780" s="2"/>
      <c r="X780" s="2"/>
      <c r="Y780" s="2"/>
      <c r="Z780" s="1"/>
      <c r="AA780" s="1"/>
      <c r="AB780" s="1"/>
      <c r="AC780" s="1"/>
      <c r="AD780" s="1"/>
      <c r="AE780" s="1"/>
      <c r="AF780" s="1"/>
      <c r="AG780" s="1"/>
      <c r="AH780" s="1"/>
      <c r="AI780" s="1"/>
      <c r="AJ780" s="1"/>
      <c r="AK780" s="1"/>
    </row>
    <row r="781" ht="30.0" customHeight="1">
      <c r="A781" s="1"/>
      <c r="B781" s="1"/>
      <c r="C781" s="2"/>
      <c r="D781" s="2"/>
      <c r="E781" s="2"/>
      <c r="F781" s="2"/>
      <c r="G781" s="2"/>
      <c r="H781" s="2"/>
      <c r="I781" s="2"/>
      <c r="J781" s="2"/>
      <c r="K781" s="2"/>
      <c r="L781" s="2"/>
      <c r="M781" s="2"/>
      <c r="N781" s="1"/>
      <c r="O781" s="2"/>
      <c r="P781" s="2"/>
      <c r="Q781" s="2"/>
      <c r="R781" s="2"/>
      <c r="S781" s="2"/>
      <c r="T781" s="2"/>
      <c r="U781" s="2"/>
      <c r="V781" s="2"/>
      <c r="W781" s="2"/>
      <c r="X781" s="2"/>
      <c r="Y781" s="2"/>
      <c r="Z781" s="1"/>
      <c r="AA781" s="1"/>
      <c r="AB781" s="1"/>
      <c r="AC781" s="1"/>
      <c r="AD781" s="1"/>
      <c r="AE781" s="1"/>
      <c r="AF781" s="1"/>
      <c r="AG781" s="1"/>
      <c r="AH781" s="1"/>
      <c r="AI781" s="1"/>
      <c r="AJ781" s="1"/>
      <c r="AK781" s="1"/>
    </row>
    <row r="782" ht="30.0" customHeight="1">
      <c r="A782" s="1"/>
      <c r="B782" s="1"/>
      <c r="C782" s="2"/>
      <c r="D782" s="2"/>
      <c r="E782" s="2"/>
      <c r="F782" s="2"/>
      <c r="G782" s="2"/>
      <c r="H782" s="2"/>
      <c r="I782" s="2"/>
      <c r="J782" s="2"/>
      <c r="K782" s="2"/>
      <c r="L782" s="2"/>
      <c r="M782" s="2"/>
      <c r="N782" s="1"/>
      <c r="O782" s="2"/>
      <c r="P782" s="2"/>
      <c r="Q782" s="2"/>
      <c r="R782" s="2"/>
      <c r="S782" s="2"/>
      <c r="T782" s="2"/>
      <c r="U782" s="2"/>
      <c r="V782" s="2"/>
      <c r="W782" s="2"/>
      <c r="X782" s="2"/>
      <c r="Y782" s="2"/>
      <c r="Z782" s="1"/>
      <c r="AA782" s="1"/>
      <c r="AB782" s="1"/>
      <c r="AC782" s="1"/>
      <c r="AD782" s="1"/>
      <c r="AE782" s="1"/>
      <c r="AF782" s="1"/>
      <c r="AG782" s="1"/>
      <c r="AH782" s="1"/>
      <c r="AI782" s="1"/>
      <c r="AJ782" s="1"/>
      <c r="AK782" s="1"/>
    </row>
    <row r="783" ht="30.0" customHeight="1">
      <c r="A783" s="1"/>
      <c r="B783" s="1"/>
      <c r="C783" s="2"/>
      <c r="D783" s="2"/>
      <c r="E783" s="2"/>
      <c r="F783" s="2"/>
      <c r="G783" s="2"/>
      <c r="H783" s="2"/>
      <c r="I783" s="2"/>
      <c r="J783" s="2"/>
      <c r="K783" s="2"/>
      <c r="L783" s="2"/>
      <c r="M783" s="2"/>
      <c r="N783" s="1"/>
      <c r="O783" s="2"/>
      <c r="P783" s="2"/>
      <c r="Q783" s="2"/>
      <c r="R783" s="2"/>
      <c r="S783" s="2"/>
      <c r="T783" s="2"/>
      <c r="U783" s="2"/>
      <c r="V783" s="2"/>
      <c r="W783" s="2"/>
      <c r="X783" s="2"/>
      <c r="Y783" s="2"/>
      <c r="Z783" s="1"/>
      <c r="AA783" s="1"/>
      <c r="AB783" s="1"/>
      <c r="AC783" s="1"/>
      <c r="AD783" s="1"/>
      <c r="AE783" s="1"/>
      <c r="AF783" s="1"/>
      <c r="AG783" s="1"/>
      <c r="AH783" s="1"/>
      <c r="AI783" s="1"/>
      <c r="AJ783" s="1"/>
      <c r="AK783" s="1"/>
    </row>
    <row r="784" ht="30.0" customHeight="1">
      <c r="A784" s="1"/>
      <c r="B784" s="1"/>
      <c r="C784" s="2"/>
      <c r="D784" s="2"/>
      <c r="E784" s="2"/>
      <c r="F784" s="2"/>
      <c r="G784" s="2"/>
      <c r="H784" s="2"/>
      <c r="I784" s="2"/>
      <c r="J784" s="2"/>
      <c r="K784" s="2"/>
      <c r="L784" s="2"/>
      <c r="M784" s="2"/>
      <c r="N784" s="1"/>
      <c r="O784" s="2"/>
      <c r="P784" s="2"/>
      <c r="Q784" s="2"/>
      <c r="R784" s="2"/>
      <c r="S784" s="2"/>
      <c r="T784" s="2"/>
      <c r="U784" s="2"/>
      <c r="V784" s="2"/>
      <c r="W784" s="2"/>
      <c r="X784" s="2"/>
      <c r="Y784" s="2"/>
      <c r="Z784" s="1"/>
      <c r="AA784" s="1"/>
      <c r="AB784" s="1"/>
      <c r="AC784" s="1"/>
      <c r="AD784" s="1"/>
      <c r="AE784" s="1"/>
      <c r="AF784" s="1"/>
      <c r="AG784" s="1"/>
      <c r="AH784" s="1"/>
      <c r="AI784" s="1"/>
      <c r="AJ784" s="1"/>
      <c r="AK784" s="1"/>
    </row>
    <row r="785" ht="30.0" customHeight="1">
      <c r="A785" s="1"/>
      <c r="B785" s="1"/>
      <c r="C785" s="2"/>
      <c r="D785" s="2"/>
      <c r="E785" s="2"/>
      <c r="F785" s="2"/>
      <c r="G785" s="2"/>
      <c r="H785" s="2"/>
      <c r="I785" s="2"/>
      <c r="J785" s="2"/>
      <c r="K785" s="2"/>
      <c r="L785" s="2"/>
      <c r="M785" s="2"/>
      <c r="N785" s="1"/>
      <c r="O785" s="2"/>
      <c r="P785" s="2"/>
      <c r="Q785" s="2"/>
      <c r="R785" s="2"/>
      <c r="S785" s="2"/>
      <c r="T785" s="2"/>
      <c r="U785" s="2"/>
      <c r="V785" s="2"/>
      <c r="W785" s="2"/>
      <c r="X785" s="2"/>
      <c r="Y785" s="2"/>
      <c r="Z785" s="1"/>
      <c r="AA785" s="1"/>
      <c r="AB785" s="1"/>
      <c r="AC785" s="1"/>
      <c r="AD785" s="1"/>
      <c r="AE785" s="1"/>
      <c r="AF785" s="1"/>
      <c r="AG785" s="1"/>
      <c r="AH785" s="1"/>
      <c r="AI785" s="1"/>
      <c r="AJ785" s="1"/>
      <c r="AK785" s="1"/>
    </row>
    <row r="786" ht="30.0" customHeight="1">
      <c r="A786" s="1"/>
      <c r="B786" s="1"/>
      <c r="C786" s="2"/>
      <c r="D786" s="2"/>
      <c r="E786" s="2"/>
      <c r="F786" s="2"/>
      <c r="G786" s="2"/>
      <c r="H786" s="2"/>
      <c r="I786" s="2"/>
      <c r="J786" s="2"/>
      <c r="K786" s="2"/>
      <c r="L786" s="2"/>
      <c r="M786" s="2"/>
      <c r="N786" s="1"/>
      <c r="O786" s="2"/>
      <c r="P786" s="2"/>
      <c r="Q786" s="2"/>
      <c r="R786" s="2"/>
      <c r="S786" s="2"/>
      <c r="T786" s="2"/>
      <c r="U786" s="2"/>
      <c r="V786" s="2"/>
      <c r="W786" s="2"/>
      <c r="X786" s="2"/>
      <c r="Y786" s="2"/>
      <c r="Z786" s="1"/>
      <c r="AA786" s="1"/>
      <c r="AB786" s="1"/>
      <c r="AC786" s="1"/>
      <c r="AD786" s="1"/>
      <c r="AE786" s="1"/>
      <c r="AF786" s="1"/>
      <c r="AG786" s="1"/>
      <c r="AH786" s="1"/>
      <c r="AI786" s="1"/>
      <c r="AJ786" s="1"/>
      <c r="AK786" s="1"/>
    </row>
    <row r="787" ht="30.0" customHeight="1">
      <c r="A787" s="1"/>
      <c r="B787" s="1"/>
      <c r="C787" s="2"/>
      <c r="D787" s="2"/>
      <c r="E787" s="2"/>
      <c r="F787" s="2"/>
      <c r="G787" s="2"/>
      <c r="H787" s="2"/>
      <c r="I787" s="2"/>
      <c r="J787" s="2"/>
      <c r="K787" s="2"/>
      <c r="L787" s="2"/>
      <c r="M787" s="2"/>
      <c r="N787" s="1"/>
      <c r="O787" s="2"/>
      <c r="P787" s="2"/>
      <c r="Q787" s="2"/>
      <c r="R787" s="2"/>
      <c r="S787" s="2"/>
      <c r="T787" s="2"/>
      <c r="U787" s="2"/>
      <c r="V787" s="2"/>
      <c r="W787" s="2"/>
      <c r="X787" s="2"/>
      <c r="Y787" s="2"/>
      <c r="Z787" s="1"/>
      <c r="AA787" s="1"/>
      <c r="AB787" s="1"/>
      <c r="AC787" s="1"/>
      <c r="AD787" s="1"/>
      <c r="AE787" s="1"/>
      <c r="AF787" s="1"/>
      <c r="AG787" s="1"/>
      <c r="AH787" s="1"/>
      <c r="AI787" s="1"/>
      <c r="AJ787" s="1"/>
      <c r="AK787" s="1"/>
    </row>
    <row r="788" ht="30.0" customHeight="1">
      <c r="A788" s="1"/>
      <c r="B788" s="1"/>
      <c r="C788" s="2"/>
      <c r="D788" s="2"/>
      <c r="E788" s="2"/>
      <c r="F788" s="2"/>
      <c r="G788" s="2"/>
      <c r="H788" s="2"/>
      <c r="I788" s="2"/>
      <c r="J788" s="2"/>
      <c r="K788" s="2"/>
      <c r="L788" s="2"/>
      <c r="M788" s="2"/>
      <c r="N788" s="1"/>
      <c r="O788" s="2"/>
      <c r="P788" s="2"/>
      <c r="Q788" s="2"/>
      <c r="R788" s="2"/>
      <c r="S788" s="2"/>
      <c r="T788" s="2"/>
      <c r="U788" s="2"/>
      <c r="V788" s="2"/>
      <c r="W788" s="2"/>
      <c r="X788" s="2"/>
      <c r="Y788" s="2"/>
      <c r="Z788" s="1"/>
      <c r="AA788" s="1"/>
      <c r="AB788" s="1"/>
      <c r="AC788" s="1"/>
      <c r="AD788" s="1"/>
      <c r="AE788" s="1"/>
      <c r="AF788" s="1"/>
      <c r="AG788" s="1"/>
      <c r="AH788" s="1"/>
      <c r="AI788" s="1"/>
      <c r="AJ788" s="1"/>
      <c r="AK788" s="1"/>
    </row>
    <row r="789" ht="30.0" customHeight="1">
      <c r="A789" s="1"/>
      <c r="B789" s="1"/>
      <c r="C789" s="2"/>
      <c r="D789" s="2"/>
      <c r="E789" s="2"/>
      <c r="F789" s="2"/>
      <c r="G789" s="2"/>
      <c r="H789" s="2"/>
      <c r="I789" s="2"/>
      <c r="J789" s="2"/>
      <c r="K789" s="2"/>
      <c r="L789" s="2"/>
      <c r="M789" s="2"/>
      <c r="N789" s="1"/>
      <c r="O789" s="2"/>
      <c r="P789" s="2"/>
      <c r="Q789" s="2"/>
      <c r="R789" s="2"/>
      <c r="S789" s="2"/>
      <c r="T789" s="2"/>
      <c r="U789" s="2"/>
      <c r="V789" s="2"/>
      <c r="W789" s="2"/>
      <c r="X789" s="2"/>
      <c r="Y789" s="2"/>
      <c r="Z789" s="1"/>
      <c r="AA789" s="1"/>
      <c r="AB789" s="1"/>
      <c r="AC789" s="1"/>
      <c r="AD789" s="1"/>
      <c r="AE789" s="1"/>
      <c r="AF789" s="1"/>
      <c r="AG789" s="1"/>
      <c r="AH789" s="1"/>
      <c r="AI789" s="1"/>
      <c r="AJ789" s="1"/>
      <c r="AK789" s="1"/>
    </row>
    <row r="790" ht="30.0" customHeight="1">
      <c r="A790" s="1"/>
      <c r="B790" s="1"/>
      <c r="C790" s="2"/>
      <c r="D790" s="2"/>
      <c r="E790" s="2"/>
      <c r="F790" s="2"/>
      <c r="G790" s="2"/>
      <c r="H790" s="2"/>
      <c r="I790" s="2"/>
      <c r="J790" s="2"/>
      <c r="K790" s="2"/>
      <c r="L790" s="2"/>
      <c r="M790" s="2"/>
      <c r="N790" s="1"/>
      <c r="O790" s="2"/>
      <c r="P790" s="2"/>
      <c r="Q790" s="2"/>
      <c r="R790" s="2"/>
      <c r="S790" s="2"/>
      <c r="T790" s="2"/>
      <c r="U790" s="2"/>
      <c r="V790" s="2"/>
      <c r="W790" s="2"/>
      <c r="X790" s="2"/>
      <c r="Y790" s="2"/>
      <c r="Z790" s="1"/>
      <c r="AA790" s="1"/>
      <c r="AB790" s="1"/>
      <c r="AC790" s="1"/>
      <c r="AD790" s="1"/>
      <c r="AE790" s="1"/>
      <c r="AF790" s="1"/>
      <c r="AG790" s="1"/>
      <c r="AH790" s="1"/>
      <c r="AI790" s="1"/>
      <c r="AJ790" s="1"/>
      <c r="AK790" s="1"/>
    </row>
    <row r="791" ht="30.0" customHeight="1">
      <c r="A791" s="1"/>
      <c r="B791" s="1"/>
      <c r="C791" s="2"/>
      <c r="D791" s="2"/>
      <c r="E791" s="2"/>
      <c r="F791" s="2"/>
      <c r="G791" s="2"/>
      <c r="H791" s="2"/>
      <c r="I791" s="2"/>
      <c r="J791" s="2"/>
      <c r="K791" s="2"/>
      <c r="L791" s="2"/>
      <c r="M791" s="2"/>
      <c r="N791" s="1"/>
      <c r="O791" s="2"/>
      <c r="P791" s="2"/>
      <c r="Q791" s="2"/>
      <c r="R791" s="2"/>
      <c r="S791" s="2"/>
      <c r="T791" s="2"/>
      <c r="U791" s="2"/>
      <c r="V791" s="2"/>
      <c r="W791" s="2"/>
      <c r="X791" s="2"/>
      <c r="Y791" s="2"/>
      <c r="Z791" s="1"/>
      <c r="AA791" s="1"/>
      <c r="AB791" s="1"/>
      <c r="AC791" s="1"/>
      <c r="AD791" s="1"/>
      <c r="AE791" s="1"/>
      <c r="AF791" s="1"/>
      <c r="AG791" s="1"/>
      <c r="AH791" s="1"/>
      <c r="AI791" s="1"/>
      <c r="AJ791" s="1"/>
      <c r="AK791" s="1"/>
    </row>
    <row r="792" ht="30.0" customHeight="1">
      <c r="A792" s="1"/>
      <c r="B792" s="1"/>
      <c r="C792" s="2"/>
      <c r="D792" s="2"/>
      <c r="E792" s="2"/>
      <c r="F792" s="2"/>
      <c r="G792" s="2"/>
      <c r="H792" s="2"/>
      <c r="I792" s="2"/>
      <c r="J792" s="2"/>
      <c r="K792" s="2"/>
      <c r="L792" s="2"/>
      <c r="M792" s="2"/>
      <c r="N792" s="1"/>
      <c r="O792" s="2"/>
      <c r="P792" s="2"/>
      <c r="Q792" s="2"/>
      <c r="R792" s="2"/>
      <c r="S792" s="2"/>
      <c r="T792" s="2"/>
      <c r="U792" s="2"/>
      <c r="V792" s="2"/>
      <c r="W792" s="2"/>
      <c r="X792" s="2"/>
      <c r="Y792" s="2"/>
      <c r="Z792" s="1"/>
      <c r="AA792" s="1"/>
      <c r="AB792" s="1"/>
      <c r="AC792" s="1"/>
      <c r="AD792" s="1"/>
      <c r="AE792" s="1"/>
      <c r="AF792" s="1"/>
      <c r="AG792" s="1"/>
      <c r="AH792" s="1"/>
      <c r="AI792" s="1"/>
      <c r="AJ792" s="1"/>
      <c r="AK792" s="1"/>
    </row>
    <row r="793" ht="30.0" customHeight="1">
      <c r="A793" s="1"/>
      <c r="B793" s="1"/>
      <c r="C793" s="2"/>
      <c r="D793" s="2"/>
      <c r="E793" s="2"/>
      <c r="F793" s="2"/>
      <c r="G793" s="2"/>
      <c r="H793" s="2"/>
      <c r="I793" s="2"/>
      <c r="J793" s="2"/>
      <c r="K793" s="2"/>
      <c r="L793" s="2"/>
      <c r="M793" s="2"/>
      <c r="N793" s="1"/>
      <c r="O793" s="2"/>
      <c r="P793" s="2"/>
      <c r="Q793" s="2"/>
      <c r="R793" s="2"/>
      <c r="S793" s="2"/>
      <c r="T793" s="2"/>
      <c r="U793" s="2"/>
      <c r="V793" s="2"/>
      <c r="W793" s="2"/>
      <c r="X793" s="2"/>
      <c r="Y793" s="2"/>
      <c r="Z793" s="1"/>
      <c r="AA793" s="1"/>
      <c r="AB793" s="1"/>
      <c r="AC793" s="1"/>
      <c r="AD793" s="1"/>
      <c r="AE793" s="1"/>
      <c r="AF793" s="1"/>
      <c r="AG793" s="1"/>
      <c r="AH793" s="1"/>
      <c r="AI793" s="1"/>
      <c r="AJ793" s="1"/>
      <c r="AK793" s="1"/>
    </row>
    <row r="794" ht="30.0" customHeight="1">
      <c r="A794" s="1"/>
      <c r="B794" s="1"/>
      <c r="C794" s="2"/>
      <c r="D794" s="2"/>
      <c r="E794" s="2"/>
      <c r="F794" s="2"/>
      <c r="G794" s="2"/>
      <c r="H794" s="2"/>
      <c r="I794" s="2"/>
      <c r="J794" s="2"/>
      <c r="K794" s="2"/>
      <c r="L794" s="2"/>
      <c r="M794" s="2"/>
      <c r="N794" s="1"/>
      <c r="O794" s="2"/>
      <c r="P794" s="2"/>
      <c r="Q794" s="2"/>
      <c r="R794" s="2"/>
      <c r="S794" s="2"/>
      <c r="T794" s="2"/>
      <c r="U794" s="2"/>
      <c r="V794" s="2"/>
      <c r="W794" s="2"/>
      <c r="X794" s="2"/>
      <c r="Y794" s="2"/>
      <c r="Z794" s="1"/>
      <c r="AA794" s="1"/>
      <c r="AB794" s="1"/>
      <c r="AC794" s="1"/>
      <c r="AD794" s="1"/>
      <c r="AE794" s="1"/>
      <c r="AF794" s="1"/>
      <c r="AG794" s="1"/>
      <c r="AH794" s="1"/>
      <c r="AI794" s="1"/>
      <c r="AJ794" s="1"/>
      <c r="AK794" s="1"/>
    </row>
    <row r="795" ht="30.0" customHeight="1">
      <c r="A795" s="1"/>
      <c r="B795" s="1"/>
      <c r="C795" s="2"/>
      <c r="D795" s="2"/>
      <c r="E795" s="2"/>
      <c r="F795" s="2"/>
      <c r="G795" s="2"/>
      <c r="H795" s="2"/>
      <c r="I795" s="2"/>
      <c r="J795" s="2"/>
      <c r="K795" s="2"/>
      <c r="L795" s="2"/>
      <c r="M795" s="2"/>
      <c r="N795" s="1"/>
      <c r="O795" s="2"/>
      <c r="P795" s="2"/>
      <c r="Q795" s="2"/>
      <c r="R795" s="2"/>
      <c r="S795" s="2"/>
      <c r="T795" s="2"/>
      <c r="U795" s="2"/>
      <c r="V795" s="2"/>
      <c r="W795" s="2"/>
      <c r="X795" s="2"/>
      <c r="Y795" s="2"/>
      <c r="Z795" s="1"/>
      <c r="AA795" s="1"/>
      <c r="AB795" s="1"/>
      <c r="AC795" s="1"/>
      <c r="AD795" s="1"/>
      <c r="AE795" s="1"/>
      <c r="AF795" s="1"/>
      <c r="AG795" s="1"/>
      <c r="AH795" s="1"/>
      <c r="AI795" s="1"/>
      <c r="AJ795" s="1"/>
      <c r="AK795" s="1"/>
    </row>
    <row r="796" ht="30.0" customHeight="1">
      <c r="A796" s="1"/>
      <c r="B796" s="1"/>
      <c r="C796" s="2"/>
      <c r="D796" s="2"/>
      <c r="E796" s="2"/>
      <c r="F796" s="2"/>
      <c r="G796" s="2"/>
      <c r="H796" s="2"/>
      <c r="I796" s="2"/>
      <c r="J796" s="2"/>
      <c r="K796" s="2"/>
      <c r="L796" s="2"/>
      <c r="M796" s="2"/>
      <c r="N796" s="1"/>
      <c r="O796" s="2"/>
      <c r="P796" s="2"/>
      <c r="Q796" s="2"/>
      <c r="R796" s="2"/>
      <c r="S796" s="2"/>
      <c r="T796" s="2"/>
      <c r="U796" s="2"/>
      <c r="V796" s="2"/>
      <c r="W796" s="2"/>
      <c r="X796" s="2"/>
      <c r="Y796" s="2"/>
      <c r="Z796" s="1"/>
      <c r="AA796" s="1"/>
      <c r="AB796" s="1"/>
      <c r="AC796" s="1"/>
      <c r="AD796" s="1"/>
      <c r="AE796" s="1"/>
      <c r="AF796" s="1"/>
      <c r="AG796" s="1"/>
      <c r="AH796" s="1"/>
      <c r="AI796" s="1"/>
      <c r="AJ796" s="1"/>
      <c r="AK796" s="1"/>
    </row>
    <row r="797" ht="30.0" customHeight="1">
      <c r="A797" s="1"/>
      <c r="B797" s="1"/>
      <c r="C797" s="2"/>
      <c r="D797" s="2"/>
      <c r="E797" s="2"/>
      <c r="F797" s="2"/>
      <c r="G797" s="2"/>
      <c r="H797" s="2"/>
      <c r="I797" s="2"/>
      <c r="J797" s="2"/>
      <c r="K797" s="2"/>
      <c r="L797" s="2"/>
      <c r="M797" s="2"/>
      <c r="N797" s="1"/>
      <c r="O797" s="2"/>
      <c r="P797" s="2"/>
      <c r="Q797" s="2"/>
      <c r="R797" s="2"/>
      <c r="S797" s="2"/>
      <c r="T797" s="2"/>
      <c r="U797" s="2"/>
      <c r="V797" s="2"/>
      <c r="W797" s="2"/>
      <c r="X797" s="2"/>
      <c r="Y797" s="2"/>
      <c r="Z797" s="1"/>
      <c r="AA797" s="1"/>
      <c r="AB797" s="1"/>
      <c r="AC797" s="1"/>
      <c r="AD797" s="1"/>
      <c r="AE797" s="1"/>
      <c r="AF797" s="1"/>
      <c r="AG797" s="1"/>
      <c r="AH797" s="1"/>
      <c r="AI797" s="1"/>
      <c r="AJ797" s="1"/>
      <c r="AK797" s="1"/>
    </row>
    <row r="798" ht="30.0" customHeight="1">
      <c r="A798" s="1"/>
      <c r="B798" s="1"/>
      <c r="C798" s="2"/>
      <c r="D798" s="2"/>
      <c r="E798" s="2"/>
      <c r="F798" s="2"/>
      <c r="G798" s="2"/>
      <c r="H798" s="2"/>
      <c r="I798" s="2"/>
      <c r="J798" s="2"/>
      <c r="K798" s="2"/>
      <c r="L798" s="2"/>
      <c r="M798" s="2"/>
      <c r="N798" s="1"/>
      <c r="O798" s="2"/>
      <c r="P798" s="2"/>
      <c r="Q798" s="2"/>
      <c r="R798" s="2"/>
      <c r="S798" s="2"/>
      <c r="T798" s="2"/>
      <c r="U798" s="2"/>
      <c r="V798" s="2"/>
      <c r="W798" s="2"/>
      <c r="X798" s="2"/>
      <c r="Y798" s="2"/>
      <c r="Z798" s="1"/>
      <c r="AA798" s="1"/>
      <c r="AB798" s="1"/>
      <c r="AC798" s="1"/>
      <c r="AD798" s="1"/>
      <c r="AE798" s="1"/>
      <c r="AF798" s="1"/>
      <c r="AG798" s="1"/>
      <c r="AH798" s="1"/>
      <c r="AI798" s="1"/>
      <c r="AJ798" s="1"/>
      <c r="AK798" s="1"/>
    </row>
    <row r="799" ht="30.0" customHeight="1">
      <c r="A799" s="1"/>
      <c r="B799" s="1"/>
      <c r="C799" s="2"/>
      <c r="D799" s="2"/>
      <c r="E799" s="2"/>
      <c r="F799" s="2"/>
      <c r="G799" s="2"/>
      <c r="H799" s="2"/>
      <c r="I799" s="2"/>
      <c r="J799" s="2"/>
      <c r="K799" s="2"/>
      <c r="L799" s="2"/>
      <c r="M799" s="2"/>
      <c r="N799" s="1"/>
      <c r="O799" s="2"/>
      <c r="P799" s="2"/>
      <c r="Q799" s="2"/>
      <c r="R799" s="2"/>
      <c r="S799" s="2"/>
      <c r="T799" s="2"/>
      <c r="U799" s="2"/>
      <c r="V799" s="2"/>
      <c r="W799" s="2"/>
      <c r="X799" s="2"/>
      <c r="Y799" s="2"/>
      <c r="Z799" s="1"/>
      <c r="AA799" s="1"/>
      <c r="AB799" s="1"/>
      <c r="AC799" s="1"/>
      <c r="AD799" s="1"/>
      <c r="AE799" s="1"/>
      <c r="AF799" s="1"/>
      <c r="AG799" s="1"/>
      <c r="AH799" s="1"/>
      <c r="AI799" s="1"/>
      <c r="AJ799" s="1"/>
      <c r="AK799" s="1"/>
    </row>
    <row r="800" ht="30.0" customHeight="1">
      <c r="A800" s="1"/>
      <c r="B800" s="1"/>
      <c r="C800" s="2"/>
      <c r="D800" s="2"/>
      <c r="E800" s="2"/>
      <c r="F800" s="2"/>
      <c r="G800" s="2"/>
      <c r="H800" s="2"/>
      <c r="I800" s="2"/>
      <c r="J800" s="2"/>
      <c r="K800" s="2"/>
      <c r="L800" s="2"/>
      <c r="M800" s="2"/>
      <c r="N800" s="1"/>
      <c r="O800" s="2"/>
      <c r="P800" s="2"/>
      <c r="Q800" s="2"/>
      <c r="R800" s="2"/>
      <c r="S800" s="2"/>
      <c r="T800" s="2"/>
      <c r="U800" s="2"/>
      <c r="V800" s="2"/>
      <c r="W800" s="2"/>
      <c r="X800" s="2"/>
      <c r="Y800" s="2"/>
      <c r="Z800" s="1"/>
      <c r="AA800" s="1"/>
      <c r="AB800" s="1"/>
      <c r="AC800" s="1"/>
      <c r="AD800" s="1"/>
      <c r="AE800" s="1"/>
      <c r="AF800" s="1"/>
      <c r="AG800" s="1"/>
      <c r="AH800" s="1"/>
      <c r="AI800" s="1"/>
      <c r="AJ800" s="1"/>
      <c r="AK800" s="1"/>
    </row>
    <row r="801" ht="30.0" customHeight="1">
      <c r="A801" s="1"/>
      <c r="B801" s="1"/>
      <c r="C801" s="2"/>
      <c r="D801" s="2"/>
      <c r="E801" s="2"/>
      <c r="F801" s="2"/>
      <c r="G801" s="2"/>
      <c r="H801" s="2"/>
      <c r="I801" s="2"/>
      <c r="J801" s="2"/>
      <c r="K801" s="2"/>
      <c r="L801" s="2"/>
      <c r="M801" s="2"/>
      <c r="N801" s="1"/>
      <c r="O801" s="2"/>
      <c r="P801" s="2"/>
      <c r="Q801" s="2"/>
      <c r="R801" s="2"/>
      <c r="S801" s="2"/>
      <c r="T801" s="2"/>
      <c r="U801" s="2"/>
      <c r="V801" s="2"/>
      <c r="W801" s="2"/>
      <c r="X801" s="2"/>
      <c r="Y801" s="2"/>
      <c r="Z801" s="1"/>
      <c r="AA801" s="1"/>
      <c r="AB801" s="1"/>
      <c r="AC801" s="1"/>
      <c r="AD801" s="1"/>
      <c r="AE801" s="1"/>
      <c r="AF801" s="1"/>
      <c r="AG801" s="1"/>
      <c r="AH801" s="1"/>
      <c r="AI801" s="1"/>
      <c r="AJ801" s="1"/>
      <c r="AK801" s="1"/>
    </row>
    <row r="802" ht="30.0" customHeight="1">
      <c r="A802" s="1"/>
      <c r="B802" s="1"/>
      <c r="C802" s="2"/>
      <c r="D802" s="2"/>
      <c r="E802" s="2"/>
      <c r="F802" s="2"/>
      <c r="G802" s="2"/>
      <c r="H802" s="2"/>
      <c r="I802" s="2"/>
      <c r="J802" s="2"/>
      <c r="K802" s="2"/>
      <c r="L802" s="2"/>
      <c r="M802" s="2"/>
      <c r="N802" s="1"/>
      <c r="O802" s="2"/>
      <c r="P802" s="2"/>
      <c r="Q802" s="2"/>
      <c r="R802" s="2"/>
      <c r="S802" s="2"/>
      <c r="T802" s="2"/>
      <c r="U802" s="2"/>
      <c r="V802" s="2"/>
      <c r="W802" s="2"/>
      <c r="X802" s="2"/>
      <c r="Y802" s="2"/>
      <c r="Z802" s="1"/>
      <c r="AA802" s="1"/>
      <c r="AB802" s="1"/>
      <c r="AC802" s="1"/>
      <c r="AD802" s="1"/>
      <c r="AE802" s="1"/>
      <c r="AF802" s="1"/>
      <c r="AG802" s="1"/>
      <c r="AH802" s="1"/>
      <c r="AI802" s="1"/>
      <c r="AJ802" s="1"/>
      <c r="AK802" s="1"/>
    </row>
    <row r="803" ht="30.0" customHeight="1">
      <c r="A803" s="1"/>
      <c r="B803" s="1"/>
      <c r="C803" s="2"/>
      <c r="D803" s="2"/>
      <c r="E803" s="2"/>
      <c r="F803" s="2"/>
      <c r="G803" s="2"/>
      <c r="H803" s="2"/>
      <c r="I803" s="2"/>
      <c r="J803" s="2"/>
      <c r="K803" s="2"/>
      <c r="L803" s="2"/>
      <c r="M803" s="2"/>
      <c r="N803" s="1"/>
      <c r="O803" s="2"/>
      <c r="P803" s="2"/>
      <c r="Q803" s="2"/>
      <c r="R803" s="2"/>
      <c r="S803" s="2"/>
      <c r="T803" s="2"/>
      <c r="U803" s="2"/>
      <c r="V803" s="2"/>
      <c r="W803" s="2"/>
      <c r="X803" s="2"/>
      <c r="Y803" s="2"/>
      <c r="Z803" s="1"/>
      <c r="AA803" s="1"/>
      <c r="AB803" s="1"/>
      <c r="AC803" s="1"/>
      <c r="AD803" s="1"/>
      <c r="AE803" s="1"/>
      <c r="AF803" s="1"/>
      <c r="AG803" s="1"/>
      <c r="AH803" s="1"/>
      <c r="AI803" s="1"/>
      <c r="AJ803" s="1"/>
      <c r="AK803" s="1"/>
    </row>
    <row r="804" ht="30.0" customHeight="1">
      <c r="A804" s="1"/>
      <c r="B804" s="1"/>
      <c r="C804" s="2"/>
      <c r="D804" s="2"/>
      <c r="E804" s="2"/>
      <c r="F804" s="2"/>
      <c r="G804" s="2"/>
      <c r="H804" s="2"/>
      <c r="I804" s="2"/>
      <c r="J804" s="2"/>
      <c r="K804" s="2"/>
      <c r="L804" s="2"/>
      <c r="M804" s="2"/>
      <c r="N804" s="1"/>
      <c r="O804" s="2"/>
      <c r="P804" s="2"/>
      <c r="Q804" s="2"/>
      <c r="R804" s="2"/>
      <c r="S804" s="2"/>
      <c r="T804" s="2"/>
      <c r="U804" s="2"/>
      <c r="V804" s="2"/>
      <c r="W804" s="2"/>
      <c r="X804" s="2"/>
      <c r="Y804" s="2"/>
      <c r="Z804" s="1"/>
      <c r="AA804" s="1"/>
      <c r="AB804" s="1"/>
      <c r="AC804" s="1"/>
      <c r="AD804" s="1"/>
      <c r="AE804" s="1"/>
      <c r="AF804" s="1"/>
      <c r="AG804" s="1"/>
      <c r="AH804" s="1"/>
      <c r="AI804" s="1"/>
      <c r="AJ804" s="1"/>
      <c r="AK804" s="1"/>
    </row>
    <row r="805" ht="30.0" customHeight="1">
      <c r="A805" s="1"/>
      <c r="B805" s="1"/>
      <c r="C805" s="2"/>
      <c r="D805" s="2"/>
      <c r="E805" s="2"/>
      <c r="F805" s="2"/>
      <c r="G805" s="2"/>
      <c r="H805" s="2"/>
      <c r="I805" s="2"/>
      <c r="J805" s="2"/>
      <c r="K805" s="2"/>
      <c r="L805" s="2"/>
      <c r="M805" s="2"/>
      <c r="N805" s="1"/>
      <c r="O805" s="2"/>
      <c r="P805" s="2"/>
      <c r="Q805" s="2"/>
      <c r="R805" s="2"/>
      <c r="S805" s="2"/>
      <c r="T805" s="2"/>
      <c r="U805" s="2"/>
      <c r="V805" s="2"/>
      <c r="W805" s="2"/>
      <c r="X805" s="2"/>
      <c r="Y805" s="2"/>
      <c r="Z805" s="1"/>
      <c r="AA805" s="1"/>
      <c r="AB805" s="1"/>
      <c r="AC805" s="1"/>
      <c r="AD805" s="1"/>
      <c r="AE805" s="1"/>
      <c r="AF805" s="1"/>
      <c r="AG805" s="1"/>
      <c r="AH805" s="1"/>
      <c r="AI805" s="1"/>
      <c r="AJ805" s="1"/>
      <c r="AK805" s="1"/>
    </row>
    <row r="806" ht="30.0" customHeight="1">
      <c r="A806" s="1"/>
      <c r="B806" s="1"/>
      <c r="C806" s="2"/>
      <c r="D806" s="2"/>
      <c r="E806" s="2"/>
      <c r="F806" s="2"/>
      <c r="G806" s="2"/>
      <c r="H806" s="2"/>
      <c r="I806" s="2"/>
      <c r="J806" s="2"/>
      <c r="K806" s="2"/>
      <c r="L806" s="2"/>
      <c r="M806" s="2"/>
      <c r="N806" s="1"/>
      <c r="O806" s="2"/>
      <c r="P806" s="2"/>
      <c r="Q806" s="2"/>
      <c r="R806" s="2"/>
      <c r="S806" s="2"/>
      <c r="T806" s="2"/>
      <c r="U806" s="2"/>
      <c r="V806" s="2"/>
      <c r="W806" s="2"/>
      <c r="X806" s="2"/>
      <c r="Y806" s="2"/>
      <c r="Z806" s="1"/>
      <c r="AA806" s="1"/>
      <c r="AB806" s="1"/>
      <c r="AC806" s="1"/>
      <c r="AD806" s="1"/>
      <c r="AE806" s="1"/>
      <c r="AF806" s="1"/>
      <c r="AG806" s="1"/>
      <c r="AH806" s="1"/>
      <c r="AI806" s="1"/>
      <c r="AJ806" s="1"/>
      <c r="AK806" s="1"/>
    </row>
    <row r="807" ht="30.0" customHeight="1">
      <c r="A807" s="1"/>
      <c r="B807" s="1"/>
      <c r="C807" s="2"/>
      <c r="D807" s="2"/>
      <c r="E807" s="2"/>
      <c r="F807" s="2"/>
      <c r="G807" s="2"/>
      <c r="H807" s="2"/>
      <c r="I807" s="2"/>
      <c r="J807" s="2"/>
      <c r="K807" s="2"/>
      <c r="L807" s="2"/>
      <c r="M807" s="2"/>
      <c r="N807" s="1"/>
      <c r="O807" s="2"/>
      <c r="P807" s="2"/>
      <c r="Q807" s="2"/>
      <c r="R807" s="2"/>
      <c r="S807" s="2"/>
      <c r="T807" s="2"/>
      <c r="U807" s="2"/>
      <c r="V807" s="2"/>
      <c r="W807" s="2"/>
      <c r="X807" s="2"/>
      <c r="Y807" s="2"/>
      <c r="Z807" s="1"/>
      <c r="AA807" s="1"/>
      <c r="AB807" s="1"/>
      <c r="AC807" s="1"/>
      <c r="AD807" s="1"/>
      <c r="AE807" s="1"/>
      <c r="AF807" s="1"/>
      <c r="AG807" s="1"/>
      <c r="AH807" s="1"/>
      <c r="AI807" s="1"/>
      <c r="AJ807" s="1"/>
      <c r="AK807" s="1"/>
    </row>
    <row r="808" ht="30.0" customHeight="1">
      <c r="A808" s="1"/>
      <c r="B808" s="1"/>
      <c r="C808" s="2"/>
      <c r="D808" s="2"/>
      <c r="E808" s="2"/>
      <c r="F808" s="2"/>
      <c r="G808" s="2"/>
      <c r="H808" s="2"/>
      <c r="I808" s="2"/>
      <c r="J808" s="2"/>
      <c r="K808" s="2"/>
      <c r="L808" s="2"/>
      <c r="M808" s="2"/>
      <c r="N808" s="1"/>
      <c r="O808" s="2"/>
      <c r="P808" s="2"/>
      <c r="Q808" s="2"/>
      <c r="R808" s="2"/>
      <c r="S808" s="2"/>
      <c r="T808" s="2"/>
      <c r="U808" s="2"/>
      <c r="V808" s="2"/>
      <c r="W808" s="2"/>
      <c r="X808" s="2"/>
      <c r="Y808" s="2"/>
      <c r="Z808" s="1"/>
      <c r="AA808" s="1"/>
      <c r="AB808" s="1"/>
      <c r="AC808" s="1"/>
      <c r="AD808" s="1"/>
      <c r="AE808" s="1"/>
      <c r="AF808" s="1"/>
      <c r="AG808" s="1"/>
      <c r="AH808" s="1"/>
      <c r="AI808" s="1"/>
      <c r="AJ808" s="1"/>
      <c r="AK808" s="1"/>
    </row>
    <row r="809" ht="30.0" customHeight="1">
      <c r="A809" s="1"/>
      <c r="B809" s="1"/>
      <c r="C809" s="2"/>
      <c r="D809" s="2"/>
      <c r="E809" s="2"/>
      <c r="F809" s="2"/>
      <c r="G809" s="2"/>
      <c r="H809" s="2"/>
      <c r="I809" s="2"/>
      <c r="J809" s="2"/>
      <c r="K809" s="2"/>
      <c r="L809" s="2"/>
      <c r="M809" s="2"/>
      <c r="N809" s="1"/>
      <c r="O809" s="2"/>
      <c r="P809" s="2"/>
      <c r="Q809" s="2"/>
      <c r="R809" s="2"/>
      <c r="S809" s="2"/>
      <c r="T809" s="2"/>
      <c r="U809" s="2"/>
      <c r="V809" s="2"/>
      <c r="W809" s="2"/>
      <c r="X809" s="2"/>
      <c r="Y809" s="2"/>
      <c r="Z809" s="1"/>
      <c r="AA809" s="1"/>
      <c r="AB809" s="1"/>
      <c r="AC809" s="1"/>
      <c r="AD809" s="1"/>
      <c r="AE809" s="1"/>
      <c r="AF809" s="1"/>
      <c r="AG809" s="1"/>
      <c r="AH809" s="1"/>
      <c r="AI809" s="1"/>
      <c r="AJ809" s="1"/>
      <c r="AK809" s="1"/>
    </row>
    <row r="810" ht="30.0" customHeight="1">
      <c r="A810" s="1"/>
      <c r="B810" s="1"/>
      <c r="C810" s="2"/>
      <c r="D810" s="2"/>
      <c r="E810" s="2"/>
      <c r="F810" s="2"/>
      <c r="G810" s="2"/>
      <c r="H810" s="2"/>
      <c r="I810" s="2"/>
      <c r="J810" s="2"/>
      <c r="K810" s="2"/>
      <c r="L810" s="2"/>
      <c r="M810" s="2"/>
      <c r="N810" s="1"/>
      <c r="O810" s="2"/>
      <c r="P810" s="2"/>
      <c r="Q810" s="2"/>
      <c r="R810" s="2"/>
      <c r="S810" s="2"/>
      <c r="T810" s="2"/>
      <c r="U810" s="2"/>
      <c r="V810" s="2"/>
      <c r="W810" s="2"/>
      <c r="X810" s="2"/>
      <c r="Y810" s="2"/>
      <c r="Z810" s="1"/>
      <c r="AA810" s="1"/>
      <c r="AB810" s="1"/>
      <c r="AC810" s="1"/>
      <c r="AD810" s="1"/>
      <c r="AE810" s="1"/>
      <c r="AF810" s="1"/>
      <c r="AG810" s="1"/>
      <c r="AH810" s="1"/>
      <c r="AI810" s="1"/>
      <c r="AJ810" s="1"/>
      <c r="AK810" s="1"/>
    </row>
    <row r="811" ht="30.0" customHeight="1">
      <c r="A811" s="1"/>
      <c r="B811" s="1"/>
      <c r="C811" s="2"/>
      <c r="D811" s="2"/>
      <c r="E811" s="2"/>
      <c r="F811" s="2"/>
      <c r="G811" s="2"/>
      <c r="H811" s="2"/>
      <c r="I811" s="2"/>
      <c r="J811" s="2"/>
      <c r="K811" s="2"/>
      <c r="L811" s="2"/>
      <c r="M811" s="2"/>
      <c r="N811" s="1"/>
      <c r="O811" s="2"/>
      <c r="P811" s="2"/>
      <c r="Q811" s="2"/>
      <c r="R811" s="2"/>
      <c r="S811" s="2"/>
      <c r="T811" s="2"/>
      <c r="U811" s="2"/>
      <c r="V811" s="2"/>
      <c r="W811" s="2"/>
      <c r="X811" s="2"/>
      <c r="Y811" s="2"/>
      <c r="Z811" s="1"/>
      <c r="AA811" s="1"/>
      <c r="AB811" s="1"/>
      <c r="AC811" s="1"/>
      <c r="AD811" s="1"/>
      <c r="AE811" s="1"/>
      <c r="AF811" s="1"/>
      <c r="AG811" s="1"/>
      <c r="AH811" s="1"/>
      <c r="AI811" s="1"/>
      <c r="AJ811" s="1"/>
      <c r="AK811" s="1"/>
    </row>
    <row r="812" ht="30.0" customHeight="1">
      <c r="A812" s="1"/>
      <c r="B812" s="1"/>
      <c r="C812" s="2"/>
      <c r="D812" s="2"/>
      <c r="E812" s="2"/>
      <c r="F812" s="2"/>
      <c r="G812" s="2"/>
      <c r="H812" s="2"/>
      <c r="I812" s="2"/>
      <c r="J812" s="2"/>
      <c r="K812" s="2"/>
      <c r="L812" s="2"/>
      <c r="M812" s="2"/>
      <c r="N812" s="1"/>
      <c r="O812" s="2"/>
      <c r="P812" s="2"/>
      <c r="Q812" s="2"/>
      <c r="R812" s="2"/>
      <c r="S812" s="2"/>
      <c r="T812" s="2"/>
      <c r="U812" s="2"/>
      <c r="V812" s="2"/>
      <c r="W812" s="2"/>
      <c r="X812" s="2"/>
      <c r="Y812" s="2"/>
      <c r="Z812" s="1"/>
      <c r="AA812" s="1"/>
      <c r="AB812" s="1"/>
      <c r="AC812" s="1"/>
      <c r="AD812" s="1"/>
      <c r="AE812" s="1"/>
      <c r="AF812" s="1"/>
      <c r="AG812" s="1"/>
      <c r="AH812" s="1"/>
      <c r="AI812" s="1"/>
      <c r="AJ812" s="1"/>
      <c r="AK812" s="1"/>
    </row>
    <row r="813" ht="30.0" customHeight="1">
      <c r="A813" s="1"/>
      <c r="B813" s="1"/>
      <c r="C813" s="2"/>
      <c r="D813" s="2"/>
      <c r="E813" s="2"/>
      <c r="F813" s="2"/>
      <c r="G813" s="2"/>
      <c r="H813" s="2"/>
      <c r="I813" s="2"/>
      <c r="J813" s="2"/>
      <c r="K813" s="2"/>
      <c r="L813" s="2"/>
      <c r="M813" s="2"/>
      <c r="N813" s="1"/>
      <c r="O813" s="2"/>
      <c r="P813" s="2"/>
      <c r="Q813" s="2"/>
      <c r="R813" s="2"/>
      <c r="S813" s="2"/>
      <c r="T813" s="2"/>
      <c r="U813" s="2"/>
      <c r="V813" s="2"/>
      <c r="W813" s="2"/>
      <c r="X813" s="2"/>
      <c r="Y813" s="2"/>
      <c r="Z813" s="1"/>
      <c r="AA813" s="1"/>
      <c r="AB813" s="1"/>
      <c r="AC813" s="1"/>
      <c r="AD813" s="1"/>
      <c r="AE813" s="1"/>
      <c r="AF813" s="1"/>
      <c r="AG813" s="1"/>
      <c r="AH813" s="1"/>
      <c r="AI813" s="1"/>
      <c r="AJ813" s="1"/>
      <c r="AK813" s="1"/>
    </row>
    <row r="814" ht="30.0" customHeight="1">
      <c r="A814" s="1"/>
      <c r="B814" s="1"/>
      <c r="C814" s="2"/>
      <c r="D814" s="2"/>
      <c r="E814" s="2"/>
      <c r="F814" s="2"/>
      <c r="G814" s="2"/>
      <c r="H814" s="2"/>
      <c r="I814" s="2"/>
      <c r="J814" s="2"/>
      <c r="K814" s="2"/>
      <c r="L814" s="2"/>
      <c r="M814" s="2"/>
      <c r="N814" s="1"/>
      <c r="O814" s="2"/>
      <c r="P814" s="2"/>
      <c r="Q814" s="2"/>
      <c r="R814" s="2"/>
      <c r="S814" s="2"/>
      <c r="T814" s="2"/>
      <c r="U814" s="2"/>
      <c r="V814" s="2"/>
      <c r="W814" s="2"/>
      <c r="X814" s="2"/>
      <c r="Y814" s="2"/>
      <c r="Z814" s="1"/>
      <c r="AA814" s="1"/>
      <c r="AB814" s="1"/>
      <c r="AC814" s="1"/>
      <c r="AD814" s="1"/>
      <c r="AE814" s="1"/>
      <c r="AF814" s="1"/>
      <c r="AG814" s="1"/>
      <c r="AH814" s="1"/>
      <c r="AI814" s="1"/>
      <c r="AJ814" s="1"/>
      <c r="AK814" s="1"/>
    </row>
    <row r="815" ht="30.0" customHeight="1">
      <c r="A815" s="1"/>
      <c r="B815" s="1"/>
      <c r="C815" s="2"/>
      <c r="D815" s="2"/>
      <c r="E815" s="2"/>
      <c r="F815" s="2"/>
      <c r="G815" s="2"/>
      <c r="H815" s="2"/>
      <c r="I815" s="2"/>
      <c r="J815" s="2"/>
      <c r="K815" s="2"/>
      <c r="L815" s="2"/>
      <c r="M815" s="2"/>
      <c r="N815" s="1"/>
      <c r="O815" s="2"/>
      <c r="P815" s="2"/>
      <c r="Q815" s="2"/>
      <c r="R815" s="2"/>
      <c r="S815" s="2"/>
      <c r="T815" s="2"/>
      <c r="U815" s="2"/>
      <c r="V815" s="2"/>
      <c r="W815" s="2"/>
      <c r="X815" s="2"/>
      <c r="Y815" s="2"/>
      <c r="Z815" s="1"/>
      <c r="AA815" s="1"/>
      <c r="AB815" s="1"/>
      <c r="AC815" s="1"/>
      <c r="AD815" s="1"/>
      <c r="AE815" s="1"/>
      <c r="AF815" s="1"/>
      <c r="AG815" s="1"/>
      <c r="AH815" s="1"/>
      <c r="AI815" s="1"/>
      <c r="AJ815" s="1"/>
      <c r="AK815" s="1"/>
    </row>
    <row r="816" ht="30.0" customHeight="1">
      <c r="A816" s="1"/>
      <c r="B816" s="1"/>
      <c r="C816" s="2"/>
      <c r="D816" s="2"/>
      <c r="E816" s="2"/>
      <c r="F816" s="2"/>
      <c r="G816" s="2"/>
      <c r="H816" s="2"/>
      <c r="I816" s="2"/>
      <c r="J816" s="2"/>
      <c r="K816" s="2"/>
      <c r="L816" s="2"/>
      <c r="M816" s="2"/>
      <c r="N816" s="1"/>
      <c r="O816" s="2"/>
      <c r="P816" s="2"/>
      <c r="Q816" s="2"/>
      <c r="R816" s="2"/>
      <c r="S816" s="2"/>
      <c r="T816" s="2"/>
      <c r="U816" s="2"/>
      <c r="V816" s="2"/>
      <c r="W816" s="2"/>
      <c r="X816" s="2"/>
      <c r="Y816" s="2"/>
      <c r="Z816" s="1"/>
      <c r="AA816" s="1"/>
      <c r="AB816" s="1"/>
      <c r="AC816" s="1"/>
      <c r="AD816" s="1"/>
      <c r="AE816" s="1"/>
      <c r="AF816" s="1"/>
      <c r="AG816" s="1"/>
      <c r="AH816" s="1"/>
      <c r="AI816" s="1"/>
      <c r="AJ816" s="1"/>
      <c r="AK816" s="1"/>
    </row>
    <row r="817" ht="30.0" customHeight="1">
      <c r="A817" s="1"/>
      <c r="B817" s="1"/>
      <c r="C817" s="2"/>
      <c r="D817" s="2"/>
      <c r="E817" s="2"/>
      <c r="F817" s="2"/>
      <c r="G817" s="2"/>
      <c r="H817" s="2"/>
      <c r="I817" s="2"/>
      <c r="J817" s="2"/>
      <c r="K817" s="2"/>
      <c r="L817" s="2"/>
      <c r="M817" s="2"/>
      <c r="N817" s="1"/>
      <c r="O817" s="2"/>
      <c r="P817" s="2"/>
      <c r="Q817" s="2"/>
      <c r="R817" s="2"/>
      <c r="S817" s="2"/>
      <c r="T817" s="2"/>
      <c r="U817" s="2"/>
      <c r="V817" s="2"/>
      <c r="W817" s="2"/>
      <c r="X817" s="2"/>
      <c r="Y817" s="2"/>
      <c r="Z817" s="1"/>
      <c r="AA817" s="1"/>
      <c r="AB817" s="1"/>
      <c r="AC817" s="1"/>
      <c r="AD817" s="1"/>
      <c r="AE817" s="1"/>
      <c r="AF817" s="1"/>
      <c r="AG817" s="1"/>
      <c r="AH817" s="1"/>
      <c r="AI817" s="1"/>
      <c r="AJ817" s="1"/>
      <c r="AK817" s="1"/>
    </row>
    <row r="818" ht="30.0" customHeight="1">
      <c r="A818" s="1"/>
      <c r="B818" s="1"/>
      <c r="C818" s="2"/>
      <c r="D818" s="2"/>
      <c r="E818" s="2"/>
      <c r="F818" s="2"/>
      <c r="G818" s="2"/>
      <c r="H818" s="2"/>
      <c r="I818" s="2"/>
      <c r="J818" s="2"/>
      <c r="K818" s="2"/>
      <c r="L818" s="2"/>
      <c r="M818" s="2"/>
      <c r="N818" s="1"/>
      <c r="O818" s="2"/>
      <c r="P818" s="2"/>
      <c r="Q818" s="2"/>
      <c r="R818" s="2"/>
      <c r="S818" s="2"/>
      <c r="T818" s="2"/>
      <c r="U818" s="2"/>
      <c r="V818" s="2"/>
      <c r="W818" s="2"/>
      <c r="X818" s="2"/>
      <c r="Y818" s="2"/>
      <c r="Z818" s="1"/>
      <c r="AA818" s="1"/>
      <c r="AB818" s="1"/>
      <c r="AC818" s="1"/>
      <c r="AD818" s="1"/>
      <c r="AE818" s="1"/>
      <c r="AF818" s="1"/>
      <c r="AG818" s="1"/>
      <c r="AH818" s="1"/>
      <c r="AI818" s="1"/>
      <c r="AJ818" s="1"/>
      <c r="AK818" s="1"/>
    </row>
    <row r="819" ht="30.0" customHeight="1">
      <c r="A819" s="1"/>
      <c r="B819" s="1"/>
      <c r="C819" s="2"/>
      <c r="D819" s="2"/>
      <c r="E819" s="2"/>
      <c r="F819" s="2"/>
      <c r="G819" s="2"/>
      <c r="H819" s="2"/>
      <c r="I819" s="2"/>
      <c r="J819" s="2"/>
      <c r="K819" s="2"/>
      <c r="L819" s="2"/>
      <c r="M819" s="2"/>
      <c r="N819" s="1"/>
      <c r="O819" s="2"/>
      <c r="P819" s="2"/>
      <c r="Q819" s="2"/>
      <c r="R819" s="2"/>
      <c r="S819" s="2"/>
      <c r="T819" s="2"/>
      <c r="U819" s="2"/>
      <c r="V819" s="2"/>
      <c r="W819" s="2"/>
      <c r="X819" s="2"/>
      <c r="Y819" s="2"/>
      <c r="Z819" s="1"/>
      <c r="AA819" s="1"/>
      <c r="AB819" s="1"/>
      <c r="AC819" s="1"/>
      <c r="AD819" s="1"/>
      <c r="AE819" s="1"/>
      <c r="AF819" s="1"/>
      <c r="AG819" s="1"/>
      <c r="AH819" s="1"/>
      <c r="AI819" s="1"/>
      <c r="AJ819" s="1"/>
      <c r="AK819" s="1"/>
    </row>
    <row r="820" ht="30.0" customHeight="1">
      <c r="A820" s="1"/>
      <c r="B820" s="1"/>
      <c r="C820" s="2"/>
      <c r="D820" s="2"/>
      <c r="E820" s="2"/>
      <c r="F820" s="2"/>
      <c r="G820" s="2"/>
      <c r="H820" s="2"/>
      <c r="I820" s="2"/>
      <c r="J820" s="2"/>
      <c r="K820" s="2"/>
      <c r="L820" s="2"/>
      <c r="M820" s="2"/>
      <c r="N820" s="1"/>
      <c r="O820" s="2"/>
      <c r="P820" s="2"/>
      <c r="Q820" s="2"/>
      <c r="R820" s="2"/>
      <c r="S820" s="2"/>
      <c r="T820" s="2"/>
      <c r="U820" s="2"/>
      <c r="V820" s="2"/>
      <c r="W820" s="2"/>
      <c r="X820" s="2"/>
      <c r="Y820" s="2"/>
      <c r="Z820" s="1"/>
      <c r="AA820" s="1"/>
      <c r="AB820" s="1"/>
      <c r="AC820" s="1"/>
      <c r="AD820" s="1"/>
      <c r="AE820" s="1"/>
      <c r="AF820" s="1"/>
      <c r="AG820" s="1"/>
      <c r="AH820" s="1"/>
      <c r="AI820" s="1"/>
      <c r="AJ820" s="1"/>
      <c r="AK820" s="1"/>
    </row>
    <row r="821" ht="30.0" customHeight="1">
      <c r="A821" s="1"/>
      <c r="B821" s="1"/>
      <c r="C821" s="2"/>
      <c r="D821" s="2"/>
      <c r="E821" s="2"/>
      <c r="F821" s="2"/>
      <c r="G821" s="2"/>
      <c r="H821" s="2"/>
      <c r="I821" s="2"/>
      <c r="J821" s="2"/>
      <c r="K821" s="2"/>
      <c r="L821" s="2"/>
      <c r="M821" s="2"/>
      <c r="N821" s="1"/>
      <c r="O821" s="2"/>
      <c r="P821" s="2"/>
      <c r="Q821" s="2"/>
      <c r="R821" s="2"/>
      <c r="S821" s="2"/>
      <c r="T821" s="2"/>
      <c r="U821" s="2"/>
      <c r="V821" s="2"/>
      <c r="W821" s="2"/>
      <c r="X821" s="2"/>
      <c r="Y821" s="2"/>
      <c r="Z821" s="1"/>
      <c r="AA821" s="1"/>
      <c r="AB821" s="1"/>
      <c r="AC821" s="1"/>
      <c r="AD821" s="1"/>
      <c r="AE821" s="1"/>
      <c r="AF821" s="1"/>
      <c r="AG821" s="1"/>
      <c r="AH821" s="1"/>
      <c r="AI821" s="1"/>
      <c r="AJ821" s="1"/>
      <c r="AK821" s="1"/>
    </row>
    <row r="822" ht="30.0" customHeight="1">
      <c r="A822" s="1"/>
      <c r="B822" s="1"/>
      <c r="C822" s="2"/>
      <c r="D822" s="2"/>
      <c r="E822" s="2"/>
      <c r="F822" s="2"/>
      <c r="G822" s="2"/>
      <c r="H822" s="2"/>
      <c r="I822" s="2"/>
      <c r="J822" s="2"/>
      <c r="K822" s="2"/>
      <c r="L822" s="2"/>
      <c r="M822" s="2"/>
      <c r="N822" s="1"/>
      <c r="O822" s="2"/>
      <c r="P822" s="2"/>
      <c r="Q822" s="2"/>
      <c r="R822" s="2"/>
      <c r="S822" s="2"/>
      <c r="T822" s="2"/>
      <c r="U822" s="2"/>
      <c r="V822" s="2"/>
      <c r="W822" s="2"/>
      <c r="X822" s="2"/>
      <c r="Y822" s="2"/>
      <c r="Z822" s="1"/>
      <c r="AA822" s="1"/>
      <c r="AB822" s="1"/>
      <c r="AC822" s="1"/>
      <c r="AD822" s="1"/>
      <c r="AE822" s="1"/>
      <c r="AF822" s="1"/>
      <c r="AG822" s="1"/>
      <c r="AH822" s="1"/>
      <c r="AI822" s="1"/>
      <c r="AJ822" s="1"/>
      <c r="AK822" s="1"/>
    </row>
    <row r="823" ht="30.0" customHeight="1">
      <c r="A823" s="1"/>
      <c r="B823" s="1"/>
      <c r="C823" s="2"/>
      <c r="D823" s="2"/>
      <c r="E823" s="2"/>
      <c r="F823" s="2"/>
      <c r="G823" s="2"/>
      <c r="H823" s="2"/>
      <c r="I823" s="2"/>
      <c r="J823" s="2"/>
      <c r="K823" s="2"/>
      <c r="L823" s="2"/>
      <c r="M823" s="2"/>
      <c r="N823" s="1"/>
      <c r="O823" s="2"/>
      <c r="P823" s="2"/>
      <c r="Q823" s="2"/>
      <c r="R823" s="2"/>
      <c r="S823" s="2"/>
      <c r="T823" s="2"/>
      <c r="U823" s="2"/>
      <c r="V823" s="2"/>
      <c r="W823" s="2"/>
      <c r="X823" s="2"/>
      <c r="Y823" s="2"/>
      <c r="Z823" s="1"/>
      <c r="AA823" s="1"/>
      <c r="AB823" s="1"/>
      <c r="AC823" s="1"/>
      <c r="AD823" s="1"/>
      <c r="AE823" s="1"/>
      <c r="AF823" s="1"/>
      <c r="AG823" s="1"/>
      <c r="AH823" s="1"/>
      <c r="AI823" s="1"/>
      <c r="AJ823" s="1"/>
      <c r="AK823" s="1"/>
    </row>
    <row r="824" ht="30.0" customHeight="1">
      <c r="A824" s="1"/>
      <c r="B824" s="1"/>
      <c r="C824" s="2"/>
      <c r="D824" s="2"/>
      <c r="E824" s="2"/>
      <c r="F824" s="2"/>
      <c r="G824" s="2"/>
      <c r="H824" s="2"/>
      <c r="I824" s="2"/>
      <c r="J824" s="2"/>
      <c r="K824" s="2"/>
      <c r="L824" s="2"/>
      <c r="M824" s="2"/>
      <c r="N824" s="1"/>
      <c r="O824" s="2"/>
      <c r="P824" s="2"/>
      <c r="Q824" s="2"/>
      <c r="R824" s="2"/>
      <c r="S824" s="2"/>
      <c r="T824" s="2"/>
      <c r="U824" s="2"/>
      <c r="V824" s="2"/>
      <c r="W824" s="2"/>
      <c r="X824" s="2"/>
      <c r="Y824" s="2"/>
      <c r="Z824" s="1"/>
      <c r="AA824" s="1"/>
      <c r="AB824" s="1"/>
      <c r="AC824" s="1"/>
      <c r="AD824" s="1"/>
      <c r="AE824" s="1"/>
      <c r="AF824" s="1"/>
      <c r="AG824" s="1"/>
      <c r="AH824" s="1"/>
      <c r="AI824" s="1"/>
      <c r="AJ824" s="1"/>
      <c r="AK824" s="1"/>
    </row>
    <row r="825" ht="30.0" customHeight="1">
      <c r="A825" s="1"/>
      <c r="B825" s="1"/>
      <c r="C825" s="2"/>
      <c r="D825" s="2"/>
      <c r="E825" s="2"/>
      <c r="F825" s="2"/>
      <c r="G825" s="2"/>
      <c r="H825" s="2"/>
      <c r="I825" s="2"/>
      <c r="J825" s="2"/>
      <c r="K825" s="2"/>
      <c r="L825" s="2"/>
      <c r="M825" s="2"/>
      <c r="N825" s="1"/>
      <c r="O825" s="2"/>
      <c r="P825" s="2"/>
      <c r="Q825" s="2"/>
      <c r="R825" s="2"/>
      <c r="S825" s="2"/>
      <c r="T825" s="2"/>
      <c r="U825" s="2"/>
      <c r="V825" s="2"/>
      <c r="W825" s="2"/>
      <c r="X825" s="2"/>
      <c r="Y825" s="2"/>
      <c r="Z825" s="1"/>
      <c r="AA825" s="1"/>
      <c r="AB825" s="1"/>
      <c r="AC825" s="1"/>
      <c r="AD825" s="1"/>
      <c r="AE825" s="1"/>
      <c r="AF825" s="1"/>
      <c r="AG825" s="1"/>
      <c r="AH825" s="1"/>
      <c r="AI825" s="1"/>
      <c r="AJ825" s="1"/>
      <c r="AK825" s="1"/>
    </row>
    <row r="826" ht="30.0" customHeight="1">
      <c r="A826" s="1"/>
      <c r="B826" s="1"/>
      <c r="C826" s="2"/>
      <c r="D826" s="2"/>
      <c r="E826" s="2"/>
      <c r="F826" s="2"/>
      <c r="G826" s="2"/>
      <c r="H826" s="2"/>
      <c r="I826" s="2"/>
      <c r="J826" s="2"/>
      <c r="K826" s="2"/>
      <c r="L826" s="2"/>
      <c r="M826" s="2"/>
      <c r="N826" s="1"/>
      <c r="O826" s="2"/>
      <c r="P826" s="2"/>
      <c r="Q826" s="2"/>
      <c r="R826" s="2"/>
      <c r="S826" s="2"/>
      <c r="T826" s="2"/>
      <c r="U826" s="2"/>
      <c r="V826" s="2"/>
      <c r="W826" s="2"/>
      <c r="X826" s="2"/>
      <c r="Y826" s="2"/>
      <c r="Z826" s="1"/>
      <c r="AA826" s="1"/>
      <c r="AB826" s="1"/>
      <c r="AC826" s="1"/>
      <c r="AD826" s="1"/>
      <c r="AE826" s="1"/>
      <c r="AF826" s="1"/>
      <c r="AG826" s="1"/>
      <c r="AH826" s="1"/>
      <c r="AI826" s="1"/>
      <c r="AJ826" s="1"/>
      <c r="AK826" s="1"/>
    </row>
    <row r="827" ht="30.0" customHeight="1">
      <c r="A827" s="1"/>
      <c r="B827" s="1"/>
      <c r="C827" s="2"/>
      <c r="D827" s="2"/>
      <c r="E827" s="2"/>
      <c r="F827" s="2"/>
      <c r="G827" s="2"/>
      <c r="H827" s="2"/>
      <c r="I827" s="2"/>
      <c r="J827" s="2"/>
      <c r="K827" s="2"/>
      <c r="L827" s="2"/>
      <c r="M827" s="2"/>
      <c r="N827" s="1"/>
      <c r="O827" s="2"/>
      <c r="P827" s="2"/>
      <c r="Q827" s="2"/>
      <c r="R827" s="2"/>
      <c r="S827" s="2"/>
      <c r="T827" s="2"/>
      <c r="U827" s="2"/>
      <c r="V827" s="2"/>
      <c r="W827" s="2"/>
      <c r="X827" s="2"/>
      <c r="Y827" s="2"/>
      <c r="Z827" s="1"/>
      <c r="AA827" s="1"/>
      <c r="AB827" s="1"/>
      <c r="AC827" s="1"/>
      <c r="AD827" s="1"/>
      <c r="AE827" s="1"/>
      <c r="AF827" s="1"/>
      <c r="AG827" s="1"/>
      <c r="AH827" s="1"/>
      <c r="AI827" s="1"/>
      <c r="AJ827" s="1"/>
      <c r="AK827" s="1"/>
    </row>
    <row r="828" ht="30.0" customHeight="1">
      <c r="A828" s="1"/>
      <c r="B828" s="1"/>
      <c r="C828" s="2"/>
      <c r="D828" s="2"/>
      <c r="E828" s="2"/>
      <c r="F828" s="2"/>
      <c r="G828" s="2"/>
      <c r="H828" s="2"/>
      <c r="I828" s="2"/>
      <c r="J828" s="2"/>
      <c r="K828" s="2"/>
      <c r="L828" s="2"/>
      <c r="M828" s="2"/>
      <c r="N828" s="1"/>
      <c r="O828" s="2"/>
      <c r="P828" s="2"/>
      <c r="Q828" s="2"/>
      <c r="R828" s="2"/>
      <c r="S828" s="2"/>
      <c r="T828" s="2"/>
      <c r="U828" s="2"/>
      <c r="V828" s="2"/>
      <c r="W828" s="2"/>
      <c r="X828" s="2"/>
      <c r="Y828" s="2"/>
      <c r="Z828" s="1"/>
      <c r="AA828" s="1"/>
      <c r="AB828" s="1"/>
      <c r="AC828" s="1"/>
      <c r="AD828" s="1"/>
      <c r="AE828" s="1"/>
      <c r="AF828" s="1"/>
      <c r="AG828" s="1"/>
      <c r="AH828" s="1"/>
      <c r="AI828" s="1"/>
      <c r="AJ828" s="1"/>
      <c r="AK828" s="1"/>
    </row>
    <row r="829" ht="30.0" customHeight="1">
      <c r="A829" s="1"/>
      <c r="B829" s="1"/>
      <c r="C829" s="2"/>
      <c r="D829" s="2"/>
      <c r="E829" s="2"/>
      <c r="F829" s="2"/>
      <c r="G829" s="2"/>
      <c r="H829" s="2"/>
      <c r="I829" s="2"/>
      <c r="J829" s="2"/>
      <c r="K829" s="2"/>
      <c r="L829" s="2"/>
      <c r="M829" s="2"/>
      <c r="N829" s="1"/>
      <c r="O829" s="2"/>
      <c r="P829" s="2"/>
      <c r="Q829" s="2"/>
      <c r="R829" s="2"/>
      <c r="S829" s="2"/>
      <c r="T829" s="2"/>
      <c r="U829" s="2"/>
      <c r="V829" s="2"/>
      <c r="W829" s="2"/>
      <c r="X829" s="2"/>
      <c r="Y829" s="2"/>
      <c r="Z829" s="1"/>
      <c r="AA829" s="1"/>
      <c r="AB829" s="1"/>
      <c r="AC829" s="1"/>
      <c r="AD829" s="1"/>
      <c r="AE829" s="1"/>
      <c r="AF829" s="1"/>
      <c r="AG829" s="1"/>
      <c r="AH829" s="1"/>
      <c r="AI829" s="1"/>
      <c r="AJ829" s="1"/>
      <c r="AK829" s="1"/>
    </row>
    <row r="830" ht="30.0" customHeight="1">
      <c r="A830" s="1"/>
      <c r="B830" s="1"/>
      <c r="C830" s="2"/>
      <c r="D830" s="2"/>
      <c r="E830" s="2"/>
      <c r="F830" s="2"/>
      <c r="G830" s="2"/>
      <c r="H830" s="2"/>
      <c r="I830" s="2"/>
      <c r="J830" s="2"/>
      <c r="K830" s="2"/>
      <c r="L830" s="2"/>
      <c r="M830" s="2"/>
      <c r="N830" s="1"/>
      <c r="O830" s="2"/>
      <c r="P830" s="2"/>
      <c r="Q830" s="2"/>
      <c r="R830" s="2"/>
      <c r="S830" s="2"/>
      <c r="T830" s="2"/>
      <c r="U830" s="2"/>
      <c r="V830" s="2"/>
      <c r="W830" s="2"/>
      <c r="X830" s="2"/>
      <c r="Y830" s="2"/>
      <c r="Z830" s="1"/>
      <c r="AA830" s="1"/>
      <c r="AB830" s="1"/>
      <c r="AC830" s="1"/>
      <c r="AD830" s="1"/>
      <c r="AE830" s="1"/>
      <c r="AF830" s="1"/>
      <c r="AG830" s="1"/>
      <c r="AH830" s="1"/>
      <c r="AI830" s="1"/>
      <c r="AJ830" s="1"/>
      <c r="AK830" s="1"/>
    </row>
    <row r="831" ht="30.0" customHeight="1">
      <c r="A831" s="1"/>
      <c r="B831" s="1"/>
      <c r="C831" s="2"/>
      <c r="D831" s="2"/>
      <c r="E831" s="2"/>
      <c r="F831" s="2"/>
      <c r="G831" s="2"/>
      <c r="H831" s="2"/>
      <c r="I831" s="2"/>
      <c r="J831" s="2"/>
      <c r="K831" s="2"/>
      <c r="L831" s="2"/>
      <c r="M831" s="2"/>
      <c r="N831" s="1"/>
      <c r="O831" s="2"/>
      <c r="P831" s="2"/>
      <c r="Q831" s="2"/>
      <c r="R831" s="2"/>
      <c r="S831" s="2"/>
      <c r="T831" s="2"/>
      <c r="U831" s="2"/>
      <c r="V831" s="2"/>
      <c r="W831" s="2"/>
      <c r="X831" s="2"/>
      <c r="Y831" s="2"/>
      <c r="Z831" s="1"/>
      <c r="AA831" s="1"/>
      <c r="AB831" s="1"/>
      <c r="AC831" s="1"/>
      <c r="AD831" s="1"/>
      <c r="AE831" s="1"/>
      <c r="AF831" s="1"/>
      <c r="AG831" s="1"/>
      <c r="AH831" s="1"/>
      <c r="AI831" s="1"/>
      <c r="AJ831" s="1"/>
      <c r="AK831" s="1"/>
    </row>
    <row r="832" ht="30.0" customHeight="1">
      <c r="A832" s="1"/>
      <c r="B832" s="1"/>
      <c r="C832" s="2"/>
      <c r="D832" s="2"/>
      <c r="E832" s="2"/>
      <c r="F832" s="2"/>
      <c r="G832" s="2"/>
      <c r="H832" s="2"/>
      <c r="I832" s="2"/>
      <c r="J832" s="2"/>
      <c r="K832" s="2"/>
      <c r="L832" s="2"/>
      <c r="M832" s="2"/>
      <c r="N832" s="1"/>
      <c r="O832" s="2"/>
      <c r="P832" s="2"/>
      <c r="Q832" s="2"/>
      <c r="R832" s="2"/>
      <c r="S832" s="2"/>
      <c r="T832" s="2"/>
      <c r="U832" s="2"/>
      <c r="V832" s="2"/>
      <c r="W832" s="2"/>
      <c r="X832" s="2"/>
      <c r="Y832" s="2"/>
      <c r="Z832" s="1"/>
      <c r="AA832" s="1"/>
      <c r="AB832" s="1"/>
      <c r="AC832" s="1"/>
      <c r="AD832" s="1"/>
      <c r="AE832" s="1"/>
      <c r="AF832" s="1"/>
      <c r="AG832" s="1"/>
      <c r="AH832" s="1"/>
      <c r="AI832" s="1"/>
      <c r="AJ832" s="1"/>
      <c r="AK832" s="1"/>
    </row>
    <row r="833" ht="30.0" customHeight="1">
      <c r="A833" s="1"/>
      <c r="B833" s="1"/>
      <c r="C833" s="2"/>
      <c r="D833" s="2"/>
      <c r="E833" s="2"/>
      <c r="F833" s="2"/>
      <c r="G833" s="2"/>
      <c r="H833" s="2"/>
      <c r="I833" s="2"/>
      <c r="J833" s="2"/>
      <c r="K833" s="2"/>
      <c r="L833" s="2"/>
      <c r="M833" s="2"/>
      <c r="N833" s="1"/>
      <c r="O833" s="2"/>
      <c r="P833" s="2"/>
      <c r="Q833" s="2"/>
      <c r="R833" s="2"/>
      <c r="S833" s="2"/>
      <c r="T833" s="2"/>
      <c r="U833" s="2"/>
      <c r="V833" s="2"/>
      <c r="W833" s="2"/>
      <c r="X833" s="2"/>
      <c r="Y833" s="2"/>
      <c r="Z833" s="1"/>
      <c r="AA833" s="1"/>
      <c r="AB833" s="1"/>
      <c r="AC833" s="1"/>
      <c r="AD833" s="1"/>
      <c r="AE833" s="1"/>
      <c r="AF833" s="1"/>
      <c r="AG833" s="1"/>
      <c r="AH833" s="1"/>
      <c r="AI833" s="1"/>
      <c r="AJ833" s="1"/>
      <c r="AK833" s="1"/>
    </row>
    <row r="834" ht="30.0" customHeight="1">
      <c r="A834" s="1"/>
      <c r="B834" s="1"/>
      <c r="C834" s="2"/>
      <c r="D834" s="2"/>
      <c r="E834" s="2"/>
      <c r="F834" s="2"/>
      <c r="G834" s="2"/>
      <c r="H834" s="2"/>
      <c r="I834" s="2"/>
      <c r="J834" s="2"/>
      <c r="K834" s="2"/>
      <c r="L834" s="2"/>
      <c r="M834" s="2"/>
      <c r="N834" s="1"/>
      <c r="O834" s="2"/>
      <c r="P834" s="2"/>
      <c r="Q834" s="2"/>
      <c r="R834" s="2"/>
      <c r="S834" s="2"/>
      <c r="T834" s="2"/>
      <c r="U834" s="2"/>
      <c r="V834" s="2"/>
      <c r="W834" s="2"/>
      <c r="X834" s="2"/>
      <c r="Y834" s="2"/>
      <c r="Z834" s="1"/>
      <c r="AA834" s="1"/>
      <c r="AB834" s="1"/>
      <c r="AC834" s="1"/>
      <c r="AD834" s="1"/>
      <c r="AE834" s="1"/>
      <c r="AF834" s="1"/>
      <c r="AG834" s="1"/>
      <c r="AH834" s="1"/>
      <c r="AI834" s="1"/>
      <c r="AJ834" s="1"/>
      <c r="AK834" s="1"/>
    </row>
    <row r="835" ht="30.0" customHeight="1">
      <c r="A835" s="1"/>
      <c r="B835" s="1"/>
      <c r="C835" s="2"/>
      <c r="D835" s="2"/>
      <c r="E835" s="2"/>
      <c r="F835" s="2"/>
      <c r="G835" s="2"/>
      <c r="H835" s="2"/>
      <c r="I835" s="2"/>
      <c r="J835" s="2"/>
      <c r="K835" s="2"/>
      <c r="L835" s="2"/>
      <c r="M835" s="2"/>
      <c r="N835" s="1"/>
      <c r="O835" s="2"/>
      <c r="P835" s="2"/>
      <c r="Q835" s="2"/>
      <c r="R835" s="2"/>
      <c r="S835" s="2"/>
      <c r="T835" s="2"/>
      <c r="U835" s="2"/>
      <c r="V835" s="2"/>
      <c r="W835" s="2"/>
      <c r="X835" s="2"/>
      <c r="Y835" s="2"/>
      <c r="Z835" s="1"/>
      <c r="AA835" s="1"/>
      <c r="AB835" s="1"/>
      <c r="AC835" s="1"/>
      <c r="AD835" s="1"/>
      <c r="AE835" s="1"/>
      <c r="AF835" s="1"/>
      <c r="AG835" s="1"/>
      <c r="AH835" s="1"/>
      <c r="AI835" s="1"/>
      <c r="AJ835" s="1"/>
      <c r="AK835" s="1"/>
    </row>
    <row r="836" ht="30.0" customHeight="1">
      <c r="A836" s="1"/>
      <c r="B836" s="1"/>
      <c r="C836" s="2"/>
      <c r="D836" s="2"/>
      <c r="E836" s="2"/>
      <c r="F836" s="2"/>
      <c r="G836" s="2"/>
      <c r="H836" s="2"/>
      <c r="I836" s="2"/>
      <c r="J836" s="2"/>
      <c r="K836" s="2"/>
      <c r="L836" s="2"/>
      <c r="M836" s="2"/>
      <c r="N836" s="1"/>
      <c r="O836" s="2"/>
      <c r="P836" s="2"/>
      <c r="Q836" s="2"/>
      <c r="R836" s="2"/>
      <c r="S836" s="2"/>
      <c r="T836" s="2"/>
      <c r="U836" s="2"/>
      <c r="V836" s="2"/>
      <c r="W836" s="2"/>
      <c r="X836" s="2"/>
      <c r="Y836" s="2"/>
      <c r="Z836" s="1"/>
      <c r="AA836" s="1"/>
      <c r="AB836" s="1"/>
      <c r="AC836" s="1"/>
      <c r="AD836" s="1"/>
      <c r="AE836" s="1"/>
      <c r="AF836" s="1"/>
      <c r="AG836" s="1"/>
      <c r="AH836" s="1"/>
      <c r="AI836" s="1"/>
      <c r="AJ836" s="1"/>
      <c r="AK836" s="1"/>
    </row>
    <row r="837" ht="30.0" customHeight="1">
      <c r="A837" s="1"/>
      <c r="B837" s="1"/>
      <c r="C837" s="2"/>
      <c r="D837" s="2"/>
      <c r="E837" s="2"/>
      <c r="F837" s="2"/>
      <c r="G837" s="2"/>
      <c r="H837" s="2"/>
      <c r="I837" s="2"/>
      <c r="J837" s="2"/>
      <c r="K837" s="2"/>
      <c r="L837" s="2"/>
      <c r="M837" s="2"/>
      <c r="N837" s="1"/>
      <c r="O837" s="2"/>
      <c r="P837" s="2"/>
      <c r="Q837" s="2"/>
      <c r="R837" s="2"/>
      <c r="S837" s="2"/>
      <c r="T837" s="2"/>
      <c r="U837" s="2"/>
      <c r="V837" s="2"/>
      <c r="W837" s="2"/>
      <c r="X837" s="2"/>
      <c r="Y837" s="2"/>
      <c r="Z837" s="1"/>
      <c r="AA837" s="1"/>
      <c r="AB837" s="1"/>
      <c r="AC837" s="1"/>
      <c r="AD837" s="1"/>
      <c r="AE837" s="1"/>
      <c r="AF837" s="1"/>
      <c r="AG837" s="1"/>
      <c r="AH837" s="1"/>
      <c r="AI837" s="1"/>
      <c r="AJ837" s="1"/>
      <c r="AK837" s="1"/>
    </row>
    <row r="838" ht="30.0" customHeight="1">
      <c r="A838" s="1"/>
      <c r="B838" s="1"/>
      <c r="C838" s="2"/>
      <c r="D838" s="2"/>
      <c r="E838" s="2"/>
      <c r="F838" s="2"/>
      <c r="G838" s="2"/>
      <c r="H838" s="2"/>
      <c r="I838" s="2"/>
      <c r="J838" s="2"/>
      <c r="K838" s="2"/>
      <c r="L838" s="2"/>
      <c r="M838" s="2"/>
      <c r="N838" s="1"/>
      <c r="O838" s="2"/>
      <c r="P838" s="2"/>
      <c r="Q838" s="2"/>
      <c r="R838" s="2"/>
      <c r="S838" s="2"/>
      <c r="T838" s="2"/>
      <c r="U838" s="2"/>
      <c r="V838" s="2"/>
      <c r="W838" s="2"/>
      <c r="X838" s="2"/>
      <c r="Y838" s="2"/>
      <c r="Z838" s="1"/>
      <c r="AA838" s="1"/>
      <c r="AB838" s="1"/>
      <c r="AC838" s="1"/>
      <c r="AD838" s="1"/>
      <c r="AE838" s="1"/>
      <c r="AF838" s="1"/>
      <c r="AG838" s="1"/>
      <c r="AH838" s="1"/>
      <c r="AI838" s="1"/>
      <c r="AJ838" s="1"/>
      <c r="AK838" s="1"/>
    </row>
    <row r="839" ht="30.0" customHeight="1">
      <c r="A839" s="1"/>
      <c r="B839" s="1"/>
      <c r="C839" s="2"/>
      <c r="D839" s="2"/>
      <c r="E839" s="2"/>
      <c r="F839" s="2"/>
      <c r="G839" s="2"/>
      <c r="H839" s="2"/>
      <c r="I839" s="2"/>
      <c r="J839" s="2"/>
      <c r="K839" s="2"/>
      <c r="L839" s="2"/>
      <c r="M839" s="2"/>
      <c r="N839" s="1"/>
      <c r="O839" s="2"/>
      <c r="P839" s="2"/>
      <c r="Q839" s="2"/>
      <c r="R839" s="2"/>
      <c r="S839" s="2"/>
      <c r="T839" s="2"/>
      <c r="U839" s="2"/>
      <c r="V839" s="2"/>
      <c r="W839" s="2"/>
      <c r="X839" s="2"/>
      <c r="Y839" s="2"/>
      <c r="Z839" s="1"/>
      <c r="AA839" s="1"/>
      <c r="AB839" s="1"/>
      <c r="AC839" s="1"/>
      <c r="AD839" s="1"/>
      <c r="AE839" s="1"/>
      <c r="AF839" s="1"/>
      <c r="AG839" s="1"/>
      <c r="AH839" s="1"/>
      <c r="AI839" s="1"/>
      <c r="AJ839" s="1"/>
      <c r="AK839" s="1"/>
    </row>
    <row r="840" ht="30.0" customHeight="1">
      <c r="A840" s="1"/>
      <c r="B840" s="1"/>
      <c r="C840" s="2"/>
      <c r="D840" s="2"/>
      <c r="E840" s="2"/>
      <c r="F840" s="2"/>
      <c r="G840" s="2"/>
      <c r="H840" s="2"/>
      <c r="I840" s="2"/>
      <c r="J840" s="2"/>
      <c r="K840" s="2"/>
      <c r="L840" s="2"/>
      <c r="M840" s="2"/>
      <c r="N840" s="1"/>
      <c r="O840" s="2"/>
      <c r="P840" s="2"/>
      <c r="Q840" s="2"/>
      <c r="R840" s="2"/>
      <c r="S840" s="2"/>
      <c r="T840" s="2"/>
      <c r="U840" s="2"/>
      <c r="V840" s="2"/>
      <c r="W840" s="2"/>
      <c r="X840" s="2"/>
      <c r="Y840" s="2"/>
      <c r="Z840" s="1"/>
      <c r="AA840" s="1"/>
      <c r="AB840" s="1"/>
      <c r="AC840" s="1"/>
      <c r="AD840" s="1"/>
      <c r="AE840" s="1"/>
      <c r="AF840" s="1"/>
      <c r="AG840" s="1"/>
      <c r="AH840" s="1"/>
      <c r="AI840" s="1"/>
      <c r="AJ840" s="1"/>
      <c r="AK840" s="1"/>
    </row>
    <row r="841" ht="30.0" customHeight="1">
      <c r="A841" s="1"/>
      <c r="B841" s="1"/>
      <c r="C841" s="2"/>
      <c r="D841" s="2"/>
      <c r="E841" s="2"/>
      <c r="F841" s="2"/>
      <c r="G841" s="2"/>
      <c r="H841" s="2"/>
      <c r="I841" s="2"/>
      <c r="J841" s="2"/>
      <c r="K841" s="2"/>
      <c r="L841" s="2"/>
      <c r="M841" s="2"/>
      <c r="N841" s="1"/>
      <c r="O841" s="2"/>
      <c r="P841" s="2"/>
      <c r="Q841" s="2"/>
      <c r="R841" s="2"/>
      <c r="S841" s="2"/>
      <c r="T841" s="2"/>
      <c r="U841" s="2"/>
      <c r="V841" s="2"/>
      <c r="W841" s="2"/>
      <c r="X841" s="2"/>
      <c r="Y841" s="2"/>
      <c r="Z841" s="1"/>
      <c r="AA841" s="1"/>
      <c r="AB841" s="1"/>
      <c r="AC841" s="1"/>
      <c r="AD841" s="1"/>
      <c r="AE841" s="1"/>
      <c r="AF841" s="1"/>
      <c r="AG841" s="1"/>
      <c r="AH841" s="1"/>
      <c r="AI841" s="1"/>
      <c r="AJ841" s="1"/>
      <c r="AK841" s="1"/>
    </row>
    <row r="842" ht="30.0" customHeight="1">
      <c r="A842" s="1"/>
      <c r="B842" s="1"/>
      <c r="C842" s="2"/>
      <c r="D842" s="2"/>
      <c r="E842" s="2"/>
      <c r="F842" s="2"/>
      <c r="G842" s="2"/>
      <c r="H842" s="2"/>
      <c r="I842" s="2"/>
      <c r="J842" s="2"/>
      <c r="K842" s="2"/>
      <c r="L842" s="2"/>
      <c r="M842" s="2"/>
      <c r="N842" s="1"/>
      <c r="O842" s="2"/>
      <c r="P842" s="2"/>
      <c r="Q842" s="2"/>
      <c r="R842" s="2"/>
      <c r="S842" s="2"/>
      <c r="T842" s="2"/>
      <c r="U842" s="2"/>
      <c r="V842" s="2"/>
      <c r="W842" s="2"/>
      <c r="X842" s="2"/>
      <c r="Y842" s="2"/>
      <c r="Z842" s="1"/>
      <c r="AA842" s="1"/>
      <c r="AB842" s="1"/>
      <c r="AC842" s="1"/>
      <c r="AD842" s="1"/>
      <c r="AE842" s="1"/>
      <c r="AF842" s="1"/>
      <c r="AG842" s="1"/>
      <c r="AH842" s="1"/>
      <c r="AI842" s="1"/>
      <c r="AJ842" s="1"/>
      <c r="AK842" s="1"/>
    </row>
    <row r="843" ht="30.0" customHeight="1">
      <c r="A843" s="1"/>
      <c r="B843" s="1"/>
      <c r="C843" s="2"/>
      <c r="D843" s="2"/>
      <c r="E843" s="2"/>
      <c r="F843" s="2"/>
      <c r="G843" s="2"/>
      <c r="H843" s="2"/>
      <c r="I843" s="2"/>
      <c r="J843" s="2"/>
      <c r="K843" s="2"/>
      <c r="L843" s="2"/>
      <c r="M843" s="2"/>
      <c r="N843" s="1"/>
      <c r="O843" s="2"/>
      <c r="P843" s="2"/>
      <c r="Q843" s="2"/>
      <c r="R843" s="2"/>
      <c r="S843" s="2"/>
      <c r="T843" s="2"/>
      <c r="U843" s="2"/>
      <c r="V843" s="2"/>
      <c r="W843" s="2"/>
      <c r="X843" s="2"/>
      <c r="Y843" s="2"/>
      <c r="Z843" s="1"/>
      <c r="AA843" s="1"/>
      <c r="AB843" s="1"/>
      <c r="AC843" s="1"/>
      <c r="AD843" s="1"/>
      <c r="AE843" s="1"/>
      <c r="AF843" s="1"/>
      <c r="AG843" s="1"/>
      <c r="AH843" s="1"/>
      <c r="AI843" s="1"/>
      <c r="AJ843" s="1"/>
      <c r="AK843" s="1"/>
    </row>
    <row r="844" ht="30.0" customHeight="1">
      <c r="A844" s="1"/>
      <c r="B844" s="1"/>
      <c r="C844" s="2"/>
      <c r="D844" s="2"/>
      <c r="E844" s="2"/>
      <c r="F844" s="2"/>
      <c r="G844" s="2"/>
      <c r="H844" s="2"/>
      <c r="I844" s="2"/>
      <c r="J844" s="2"/>
      <c r="K844" s="2"/>
      <c r="L844" s="2"/>
      <c r="M844" s="2"/>
      <c r="N844" s="1"/>
      <c r="O844" s="2"/>
      <c r="P844" s="2"/>
      <c r="Q844" s="2"/>
      <c r="R844" s="2"/>
      <c r="S844" s="2"/>
      <c r="T844" s="2"/>
      <c r="U844" s="2"/>
      <c r="V844" s="2"/>
      <c r="W844" s="2"/>
      <c r="X844" s="2"/>
      <c r="Y844" s="2"/>
      <c r="Z844" s="1"/>
      <c r="AA844" s="1"/>
      <c r="AB844" s="1"/>
      <c r="AC844" s="1"/>
      <c r="AD844" s="1"/>
      <c r="AE844" s="1"/>
      <c r="AF844" s="1"/>
      <c r="AG844" s="1"/>
      <c r="AH844" s="1"/>
      <c r="AI844" s="1"/>
      <c r="AJ844" s="1"/>
      <c r="AK844" s="1"/>
    </row>
    <row r="845" ht="30.0" customHeight="1">
      <c r="A845" s="1"/>
      <c r="B845" s="1"/>
      <c r="C845" s="2"/>
      <c r="D845" s="2"/>
      <c r="E845" s="2"/>
      <c r="F845" s="2"/>
      <c r="G845" s="2"/>
      <c r="H845" s="2"/>
      <c r="I845" s="2"/>
      <c r="J845" s="2"/>
      <c r="K845" s="2"/>
      <c r="L845" s="2"/>
      <c r="M845" s="2"/>
      <c r="N845" s="1"/>
      <c r="O845" s="2"/>
      <c r="P845" s="2"/>
      <c r="Q845" s="2"/>
      <c r="R845" s="2"/>
      <c r="S845" s="2"/>
      <c r="T845" s="2"/>
      <c r="U845" s="2"/>
      <c r="V845" s="2"/>
      <c r="W845" s="2"/>
      <c r="X845" s="2"/>
      <c r="Y845" s="2"/>
      <c r="Z845" s="1"/>
      <c r="AA845" s="1"/>
      <c r="AB845" s="1"/>
      <c r="AC845" s="1"/>
      <c r="AD845" s="1"/>
      <c r="AE845" s="1"/>
      <c r="AF845" s="1"/>
      <c r="AG845" s="1"/>
      <c r="AH845" s="1"/>
      <c r="AI845" s="1"/>
      <c r="AJ845" s="1"/>
      <c r="AK845" s="1"/>
    </row>
    <row r="846" ht="30.0" customHeight="1">
      <c r="A846" s="1"/>
      <c r="B846" s="1"/>
      <c r="C846" s="2"/>
      <c r="D846" s="2"/>
      <c r="E846" s="2"/>
      <c r="F846" s="2"/>
      <c r="G846" s="2"/>
      <c r="H846" s="2"/>
      <c r="I846" s="2"/>
      <c r="J846" s="2"/>
      <c r="K846" s="2"/>
      <c r="L846" s="2"/>
      <c r="M846" s="2"/>
      <c r="N846" s="1"/>
      <c r="O846" s="2"/>
      <c r="P846" s="2"/>
      <c r="Q846" s="2"/>
      <c r="R846" s="2"/>
      <c r="S846" s="2"/>
      <c r="T846" s="2"/>
      <c r="U846" s="2"/>
      <c r="V846" s="2"/>
      <c r="W846" s="2"/>
      <c r="X846" s="2"/>
      <c r="Y846" s="2"/>
      <c r="Z846" s="1"/>
      <c r="AA846" s="1"/>
      <c r="AB846" s="1"/>
      <c r="AC846" s="1"/>
      <c r="AD846" s="1"/>
      <c r="AE846" s="1"/>
      <c r="AF846" s="1"/>
      <c r="AG846" s="1"/>
      <c r="AH846" s="1"/>
      <c r="AI846" s="1"/>
      <c r="AJ846" s="1"/>
      <c r="AK846" s="1"/>
    </row>
    <row r="847" ht="30.0" customHeight="1">
      <c r="A847" s="1"/>
      <c r="B847" s="1"/>
      <c r="C847" s="2"/>
      <c r="D847" s="2"/>
      <c r="E847" s="2"/>
      <c r="F847" s="2"/>
      <c r="G847" s="2"/>
      <c r="H847" s="2"/>
      <c r="I847" s="2"/>
      <c r="J847" s="2"/>
      <c r="K847" s="2"/>
      <c r="L847" s="2"/>
      <c r="M847" s="2"/>
      <c r="N847" s="1"/>
      <c r="O847" s="2"/>
      <c r="P847" s="2"/>
      <c r="Q847" s="2"/>
      <c r="R847" s="2"/>
      <c r="S847" s="2"/>
      <c r="T847" s="2"/>
      <c r="U847" s="2"/>
      <c r="V847" s="2"/>
      <c r="W847" s="2"/>
      <c r="X847" s="2"/>
      <c r="Y847" s="2"/>
      <c r="Z847" s="1"/>
      <c r="AA847" s="1"/>
      <c r="AB847" s="1"/>
      <c r="AC847" s="1"/>
      <c r="AD847" s="1"/>
      <c r="AE847" s="1"/>
      <c r="AF847" s="1"/>
      <c r="AG847" s="1"/>
      <c r="AH847" s="1"/>
      <c r="AI847" s="1"/>
      <c r="AJ847" s="1"/>
      <c r="AK847" s="1"/>
    </row>
    <row r="848" ht="30.0" customHeight="1">
      <c r="A848" s="1"/>
      <c r="B848" s="1"/>
      <c r="C848" s="2"/>
      <c r="D848" s="2"/>
      <c r="E848" s="2"/>
      <c r="F848" s="2"/>
      <c r="G848" s="2"/>
      <c r="H848" s="2"/>
      <c r="I848" s="2"/>
      <c r="J848" s="2"/>
      <c r="K848" s="2"/>
      <c r="L848" s="2"/>
      <c r="M848" s="2"/>
      <c r="N848" s="1"/>
      <c r="O848" s="2"/>
      <c r="P848" s="2"/>
      <c r="Q848" s="2"/>
      <c r="R848" s="2"/>
      <c r="S848" s="2"/>
      <c r="T848" s="2"/>
      <c r="U848" s="2"/>
      <c r="V848" s="2"/>
      <c r="W848" s="2"/>
      <c r="X848" s="2"/>
      <c r="Y848" s="2"/>
      <c r="Z848" s="1"/>
      <c r="AA848" s="1"/>
      <c r="AB848" s="1"/>
      <c r="AC848" s="1"/>
      <c r="AD848" s="1"/>
      <c r="AE848" s="1"/>
      <c r="AF848" s="1"/>
      <c r="AG848" s="1"/>
      <c r="AH848" s="1"/>
      <c r="AI848" s="1"/>
      <c r="AJ848" s="1"/>
      <c r="AK848" s="1"/>
    </row>
    <row r="849" ht="30.0" customHeight="1">
      <c r="A849" s="1"/>
      <c r="B849" s="1"/>
      <c r="C849" s="2"/>
      <c r="D849" s="2"/>
      <c r="E849" s="2"/>
      <c r="F849" s="2"/>
      <c r="G849" s="2"/>
      <c r="H849" s="2"/>
      <c r="I849" s="2"/>
      <c r="J849" s="2"/>
      <c r="K849" s="2"/>
      <c r="L849" s="2"/>
      <c r="M849" s="2"/>
      <c r="N849" s="1"/>
      <c r="O849" s="2"/>
      <c r="P849" s="2"/>
      <c r="Q849" s="2"/>
      <c r="R849" s="2"/>
      <c r="S849" s="2"/>
      <c r="T849" s="2"/>
      <c r="U849" s="2"/>
      <c r="V849" s="2"/>
      <c r="W849" s="2"/>
      <c r="X849" s="2"/>
      <c r="Y849" s="2"/>
      <c r="Z849" s="1"/>
      <c r="AA849" s="1"/>
      <c r="AB849" s="1"/>
      <c r="AC849" s="1"/>
      <c r="AD849" s="1"/>
      <c r="AE849" s="1"/>
      <c r="AF849" s="1"/>
      <c r="AG849" s="1"/>
      <c r="AH849" s="1"/>
      <c r="AI849" s="1"/>
      <c r="AJ849" s="1"/>
      <c r="AK849" s="1"/>
    </row>
    <row r="850" ht="30.0" customHeight="1">
      <c r="A850" s="1"/>
      <c r="B850" s="1"/>
      <c r="C850" s="2"/>
      <c r="D850" s="2"/>
      <c r="E850" s="2"/>
      <c r="F850" s="2"/>
      <c r="G850" s="2"/>
      <c r="H850" s="2"/>
      <c r="I850" s="2"/>
      <c r="J850" s="2"/>
      <c r="K850" s="2"/>
      <c r="L850" s="2"/>
      <c r="M850" s="2"/>
      <c r="N850" s="1"/>
      <c r="O850" s="2"/>
      <c r="P850" s="2"/>
      <c r="Q850" s="2"/>
      <c r="R850" s="2"/>
      <c r="S850" s="2"/>
      <c r="T850" s="2"/>
      <c r="U850" s="2"/>
      <c r="V850" s="2"/>
      <c r="W850" s="2"/>
      <c r="X850" s="2"/>
      <c r="Y850" s="2"/>
      <c r="Z850" s="1"/>
      <c r="AA850" s="1"/>
      <c r="AB850" s="1"/>
      <c r="AC850" s="1"/>
      <c r="AD850" s="1"/>
      <c r="AE850" s="1"/>
      <c r="AF850" s="1"/>
      <c r="AG850" s="1"/>
      <c r="AH850" s="1"/>
      <c r="AI850" s="1"/>
      <c r="AJ850" s="1"/>
      <c r="AK850" s="1"/>
    </row>
    <row r="851" ht="30.0" customHeight="1">
      <c r="A851" s="1"/>
      <c r="B851" s="1"/>
      <c r="C851" s="2"/>
      <c r="D851" s="2"/>
      <c r="E851" s="2"/>
      <c r="F851" s="2"/>
      <c r="G851" s="2"/>
      <c r="H851" s="2"/>
      <c r="I851" s="2"/>
      <c r="J851" s="2"/>
      <c r="K851" s="2"/>
      <c r="L851" s="2"/>
      <c r="M851" s="2"/>
      <c r="N851" s="1"/>
      <c r="O851" s="2"/>
      <c r="P851" s="2"/>
      <c r="Q851" s="2"/>
      <c r="R851" s="2"/>
      <c r="S851" s="2"/>
      <c r="T851" s="2"/>
      <c r="U851" s="2"/>
      <c r="V851" s="2"/>
      <c r="W851" s="2"/>
      <c r="X851" s="2"/>
      <c r="Y851" s="2"/>
      <c r="Z851" s="1"/>
      <c r="AA851" s="1"/>
      <c r="AB851" s="1"/>
      <c r="AC851" s="1"/>
      <c r="AD851" s="1"/>
      <c r="AE851" s="1"/>
      <c r="AF851" s="1"/>
      <c r="AG851" s="1"/>
      <c r="AH851" s="1"/>
      <c r="AI851" s="1"/>
      <c r="AJ851" s="1"/>
      <c r="AK851" s="1"/>
    </row>
    <row r="852" ht="30.0" customHeight="1">
      <c r="A852" s="1"/>
      <c r="B852" s="1"/>
      <c r="C852" s="2"/>
      <c r="D852" s="2"/>
      <c r="E852" s="2"/>
      <c r="F852" s="2"/>
      <c r="G852" s="2"/>
      <c r="H852" s="2"/>
      <c r="I852" s="2"/>
      <c r="J852" s="2"/>
      <c r="K852" s="2"/>
      <c r="L852" s="2"/>
      <c r="M852" s="2"/>
      <c r="N852" s="1"/>
      <c r="O852" s="2"/>
      <c r="P852" s="2"/>
      <c r="Q852" s="2"/>
      <c r="R852" s="2"/>
      <c r="S852" s="2"/>
      <c r="T852" s="2"/>
      <c r="U852" s="2"/>
      <c r="V852" s="2"/>
      <c r="W852" s="2"/>
      <c r="X852" s="2"/>
      <c r="Y852" s="2"/>
      <c r="Z852" s="1"/>
      <c r="AA852" s="1"/>
      <c r="AB852" s="1"/>
      <c r="AC852" s="1"/>
      <c r="AD852" s="1"/>
      <c r="AE852" s="1"/>
      <c r="AF852" s="1"/>
      <c r="AG852" s="1"/>
      <c r="AH852" s="1"/>
      <c r="AI852" s="1"/>
      <c r="AJ852" s="1"/>
      <c r="AK852" s="1"/>
    </row>
    <row r="853" ht="30.0" customHeight="1">
      <c r="A853" s="1"/>
      <c r="B853" s="1"/>
      <c r="C853" s="2"/>
      <c r="D853" s="2"/>
      <c r="E853" s="2"/>
      <c r="F853" s="2"/>
      <c r="G853" s="2"/>
      <c r="H853" s="2"/>
      <c r="I853" s="2"/>
      <c r="J853" s="2"/>
      <c r="K853" s="2"/>
      <c r="L853" s="2"/>
      <c r="M853" s="2"/>
      <c r="N853" s="1"/>
      <c r="O853" s="2"/>
      <c r="P853" s="2"/>
      <c r="Q853" s="2"/>
      <c r="R853" s="2"/>
      <c r="S853" s="2"/>
      <c r="T853" s="2"/>
      <c r="U853" s="2"/>
      <c r="V853" s="2"/>
      <c r="W853" s="2"/>
      <c r="X853" s="2"/>
      <c r="Y853" s="2"/>
      <c r="Z853" s="1"/>
      <c r="AA853" s="1"/>
      <c r="AB853" s="1"/>
      <c r="AC853" s="1"/>
      <c r="AD853" s="1"/>
      <c r="AE853" s="1"/>
      <c r="AF853" s="1"/>
      <c r="AG853" s="1"/>
      <c r="AH853" s="1"/>
      <c r="AI853" s="1"/>
      <c r="AJ853" s="1"/>
      <c r="AK853" s="1"/>
    </row>
    <row r="854" ht="30.0" customHeight="1">
      <c r="A854" s="1"/>
      <c r="B854" s="1"/>
      <c r="C854" s="2"/>
      <c r="D854" s="2"/>
      <c r="E854" s="2"/>
      <c r="F854" s="2"/>
      <c r="G854" s="2"/>
      <c r="H854" s="2"/>
      <c r="I854" s="2"/>
      <c r="J854" s="2"/>
      <c r="K854" s="2"/>
      <c r="L854" s="2"/>
      <c r="M854" s="2"/>
      <c r="N854" s="1"/>
      <c r="O854" s="2"/>
      <c r="P854" s="2"/>
      <c r="Q854" s="2"/>
      <c r="R854" s="2"/>
      <c r="S854" s="2"/>
      <c r="T854" s="2"/>
      <c r="U854" s="2"/>
      <c r="V854" s="2"/>
      <c r="W854" s="2"/>
      <c r="X854" s="2"/>
      <c r="Y854" s="2"/>
      <c r="Z854" s="1"/>
      <c r="AA854" s="1"/>
      <c r="AB854" s="1"/>
      <c r="AC854" s="1"/>
      <c r="AD854" s="1"/>
      <c r="AE854" s="1"/>
      <c r="AF854" s="1"/>
      <c r="AG854" s="1"/>
      <c r="AH854" s="1"/>
      <c r="AI854" s="1"/>
      <c r="AJ854" s="1"/>
      <c r="AK854" s="1"/>
    </row>
    <row r="855" ht="30.0" customHeight="1">
      <c r="A855" s="1"/>
      <c r="B855" s="1"/>
      <c r="C855" s="2"/>
      <c r="D855" s="2"/>
      <c r="E855" s="2"/>
      <c r="F855" s="2"/>
      <c r="G855" s="2"/>
      <c r="H855" s="2"/>
      <c r="I855" s="2"/>
      <c r="J855" s="2"/>
      <c r="K855" s="2"/>
      <c r="L855" s="2"/>
      <c r="M855" s="2"/>
      <c r="N855" s="1"/>
      <c r="O855" s="2"/>
      <c r="P855" s="2"/>
      <c r="Q855" s="2"/>
      <c r="R855" s="2"/>
      <c r="S855" s="2"/>
      <c r="T855" s="2"/>
      <c r="U855" s="2"/>
      <c r="V855" s="2"/>
      <c r="W855" s="2"/>
      <c r="X855" s="2"/>
      <c r="Y855" s="2"/>
      <c r="Z855" s="1"/>
      <c r="AA855" s="1"/>
      <c r="AB855" s="1"/>
      <c r="AC855" s="1"/>
      <c r="AD855" s="1"/>
      <c r="AE855" s="1"/>
      <c r="AF855" s="1"/>
      <c r="AG855" s="1"/>
      <c r="AH855" s="1"/>
      <c r="AI855" s="1"/>
      <c r="AJ855" s="1"/>
      <c r="AK855" s="1"/>
    </row>
    <row r="856" ht="30.0" customHeight="1">
      <c r="A856" s="1"/>
      <c r="B856" s="1"/>
      <c r="C856" s="2"/>
      <c r="D856" s="2"/>
      <c r="E856" s="2"/>
      <c r="F856" s="2"/>
      <c r="G856" s="2"/>
      <c r="H856" s="2"/>
      <c r="I856" s="2"/>
      <c r="J856" s="2"/>
      <c r="K856" s="2"/>
      <c r="L856" s="2"/>
      <c r="M856" s="2"/>
      <c r="N856" s="1"/>
      <c r="O856" s="2"/>
      <c r="P856" s="2"/>
      <c r="Q856" s="2"/>
      <c r="R856" s="2"/>
      <c r="S856" s="2"/>
      <c r="T856" s="2"/>
      <c r="U856" s="2"/>
      <c r="V856" s="2"/>
      <c r="W856" s="2"/>
      <c r="X856" s="2"/>
      <c r="Y856" s="2"/>
      <c r="Z856" s="1"/>
      <c r="AA856" s="1"/>
      <c r="AB856" s="1"/>
      <c r="AC856" s="1"/>
      <c r="AD856" s="1"/>
      <c r="AE856" s="1"/>
      <c r="AF856" s="1"/>
      <c r="AG856" s="1"/>
      <c r="AH856" s="1"/>
      <c r="AI856" s="1"/>
      <c r="AJ856" s="1"/>
      <c r="AK856" s="1"/>
    </row>
    <row r="857" ht="30.0" customHeight="1">
      <c r="A857" s="1"/>
      <c r="B857" s="1"/>
      <c r="C857" s="2"/>
      <c r="D857" s="2"/>
      <c r="E857" s="2"/>
      <c r="F857" s="2"/>
      <c r="G857" s="2"/>
      <c r="H857" s="2"/>
      <c r="I857" s="2"/>
      <c r="J857" s="2"/>
      <c r="K857" s="2"/>
      <c r="L857" s="2"/>
      <c r="M857" s="2"/>
      <c r="N857" s="1"/>
      <c r="O857" s="2"/>
      <c r="P857" s="2"/>
      <c r="Q857" s="2"/>
      <c r="R857" s="2"/>
      <c r="S857" s="2"/>
      <c r="T857" s="2"/>
      <c r="U857" s="2"/>
      <c r="V857" s="2"/>
      <c r="W857" s="2"/>
      <c r="X857" s="2"/>
      <c r="Y857" s="2"/>
      <c r="Z857" s="1"/>
      <c r="AA857" s="1"/>
      <c r="AB857" s="1"/>
      <c r="AC857" s="1"/>
      <c r="AD857" s="1"/>
      <c r="AE857" s="1"/>
      <c r="AF857" s="1"/>
      <c r="AG857" s="1"/>
      <c r="AH857" s="1"/>
      <c r="AI857" s="1"/>
      <c r="AJ857" s="1"/>
      <c r="AK857" s="1"/>
    </row>
    <row r="858" ht="30.0" customHeight="1">
      <c r="A858" s="1"/>
      <c r="B858" s="1"/>
      <c r="C858" s="2"/>
      <c r="D858" s="2"/>
      <c r="E858" s="2"/>
      <c r="F858" s="2"/>
      <c r="G858" s="2"/>
      <c r="H858" s="2"/>
      <c r="I858" s="2"/>
      <c r="J858" s="2"/>
      <c r="K858" s="2"/>
      <c r="L858" s="2"/>
      <c r="M858" s="2"/>
      <c r="N858" s="1"/>
      <c r="O858" s="2"/>
      <c r="P858" s="2"/>
      <c r="Q858" s="2"/>
      <c r="R858" s="2"/>
      <c r="S858" s="2"/>
      <c r="T858" s="2"/>
      <c r="U858" s="2"/>
      <c r="V858" s="2"/>
      <c r="W858" s="2"/>
      <c r="X858" s="2"/>
      <c r="Y858" s="2"/>
      <c r="Z858" s="1"/>
      <c r="AA858" s="1"/>
      <c r="AB858" s="1"/>
      <c r="AC858" s="1"/>
      <c r="AD858" s="1"/>
      <c r="AE858" s="1"/>
      <c r="AF858" s="1"/>
      <c r="AG858" s="1"/>
      <c r="AH858" s="1"/>
      <c r="AI858" s="1"/>
      <c r="AJ858" s="1"/>
      <c r="AK858" s="1"/>
    </row>
    <row r="859" ht="30.0" customHeight="1">
      <c r="A859" s="1"/>
      <c r="B859" s="1"/>
      <c r="C859" s="2"/>
      <c r="D859" s="2"/>
      <c r="E859" s="2"/>
      <c r="F859" s="2"/>
      <c r="G859" s="2"/>
      <c r="H859" s="2"/>
      <c r="I859" s="2"/>
      <c r="J859" s="2"/>
      <c r="K859" s="2"/>
      <c r="L859" s="2"/>
      <c r="M859" s="2"/>
      <c r="N859" s="1"/>
      <c r="O859" s="2"/>
      <c r="P859" s="2"/>
      <c r="Q859" s="2"/>
      <c r="R859" s="2"/>
      <c r="S859" s="2"/>
      <c r="T859" s="2"/>
      <c r="U859" s="2"/>
      <c r="V859" s="2"/>
      <c r="W859" s="2"/>
      <c r="X859" s="2"/>
      <c r="Y859" s="2"/>
      <c r="Z859" s="1"/>
      <c r="AA859" s="1"/>
      <c r="AB859" s="1"/>
      <c r="AC859" s="1"/>
      <c r="AD859" s="1"/>
      <c r="AE859" s="1"/>
      <c r="AF859" s="1"/>
      <c r="AG859" s="1"/>
      <c r="AH859" s="1"/>
      <c r="AI859" s="1"/>
      <c r="AJ859" s="1"/>
      <c r="AK859" s="1"/>
    </row>
    <row r="860" ht="30.0" customHeight="1">
      <c r="A860" s="1"/>
      <c r="B860" s="1"/>
      <c r="C860" s="2"/>
      <c r="D860" s="2"/>
      <c r="E860" s="2"/>
      <c r="F860" s="2"/>
      <c r="G860" s="2"/>
      <c r="H860" s="2"/>
      <c r="I860" s="2"/>
      <c r="J860" s="2"/>
      <c r="K860" s="2"/>
      <c r="L860" s="2"/>
      <c r="M860" s="2"/>
      <c r="N860" s="1"/>
      <c r="O860" s="2"/>
      <c r="P860" s="2"/>
      <c r="Q860" s="2"/>
      <c r="R860" s="2"/>
      <c r="S860" s="2"/>
      <c r="T860" s="2"/>
      <c r="U860" s="2"/>
      <c r="V860" s="2"/>
      <c r="W860" s="2"/>
      <c r="X860" s="2"/>
      <c r="Y860" s="2"/>
      <c r="Z860" s="1"/>
      <c r="AA860" s="1"/>
      <c r="AB860" s="1"/>
      <c r="AC860" s="1"/>
      <c r="AD860" s="1"/>
      <c r="AE860" s="1"/>
      <c r="AF860" s="1"/>
      <c r="AG860" s="1"/>
      <c r="AH860" s="1"/>
      <c r="AI860" s="1"/>
      <c r="AJ860" s="1"/>
      <c r="AK860" s="1"/>
    </row>
    <row r="861" ht="30.0" customHeight="1">
      <c r="A861" s="1"/>
      <c r="B861" s="1"/>
      <c r="C861" s="2"/>
      <c r="D861" s="2"/>
      <c r="E861" s="2"/>
      <c r="F861" s="2"/>
      <c r="G861" s="2"/>
      <c r="H861" s="2"/>
      <c r="I861" s="2"/>
      <c r="J861" s="2"/>
      <c r="K861" s="2"/>
      <c r="L861" s="2"/>
      <c r="M861" s="2"/>
      <c r="N861" s="1"/>
      <c r="O861" s="2"/>
      <c r="P861" s="2"/>
      <c r="Q861" s="2"/>
      <c r="R861" s="2"/>
      <c r="S861" s="2"/>
      <c r="T861" s="2"/>
      <c r="U861" s="2"/>
      <c r="V861" s="2"/>
      <c r="W861" s="2"/>
      <c r="X861" s="2"/>
      <c r="Y861" s="2"/>
      <c r="Z861" s="1"/>
      <c r="AA861" s="1"/>
      <c r="AB861" s="1"/>
      <c r="AC861" s="1"/>
      <c r="AD861" s="1"/>
      <c r="AE861" s="1"/>
      <c r="AF861" s="1"/>
      <c r="AG861" s="1"/>
      <c r="AH861" s="1"/>
      <c r="AI861" s="1"/>
      <c r="AJ861" s="1"/>
      <c r="AK861" s="1"/>
    </row>
    <row r="862" ht="30.0" customHeight="1">
      <c r="A862" s="1"/>
      <c r="B862" s="1"/>
      <c r="C862" s="2"/>
      <c r="D862" s="2"/>
      <c r="E862" s="2"/>
      <c r="F862" s="2"/>
      <c r="G862" s="2"/>
      <c r="H862" s="2"/>
      <c r="I862" s="2"/>
      <c r="J862" s="2"/>
      <c r="K862" s="2"/>
      <c r="L862" s="2"/>
      <c r="M862" s="2"/>
      <c r="N862" s="1"/>
      <c r="O862" s="2"/>
      <c r="P862" s="2"/>
      <c r="Q862" s="2"/>
      <c r="R862" s="2"/>
      <c r="S862" s="2"/>
      <c r="T862" s="2"/>
      <c r="U862" s="2"/>
      <c r="V862" s="2"/>
      <c r="W862" s="2"/>
      <c r="X862" s="2"/>
      <c r="Y862" s="2"/>
      <c r="Z862" s="1"/>
      <c r="AA862" s="1"/>
      <c r="AB862" s="1"/>
      <c r="AC862" s="1"/>
      <c r="AD862" s="1"/>
      <c r="AE862" s="1"/>
      <c r="AF862" s="1"/>
      <c r="AG862" s="1"/>
      <c r="AH862" s="1"/>
      <c r="AI862" s="1"/>
      <c r="AJ862" s="1"/>
      <c r="AK862" s="1"/>
    </row>
    <row r="863" ht="30.0" customHeight="1">
      <c r="A863" s="1"/>
      <c r="B863" s="1"/>
      <c r="C863" s="2"/>
      <c r="D863" s="2"/>
      <c r="E863" s="2"/>
      <c r="F863" s="2"/>
      <c r="G863" s="2"/>
      <c r="H863" s="2"/>
      <c r="I863" s="2"/>
      <c r="J863" s="2"/>
      <c r="K863" s="2"/>
      <c r="L863" s="2"/>
      <c r="M863" s="2"/>
      <c r="N863" s="1"/>
      <c r="O863" s="2"/>
      <c r="P863" s="2"/>
      <c r="Q863" s="2"/>
      <c r="R863" s="2"/>
      <c r="S863" s="2"/>
      <c r="T863" s="2"/>
      <c r="U863" s="2"/>
      <c r="V863" s="2"/>
      <c r="W863" s="2"/>
      <c r="X863" s="2"/>
      <c r="Y863" s="2"/>
      <c r="Z863" s="1"/>
      <c r="AA863" s="1"/>
      <c r="AB863" s="1"/>
      <c r="AC863" s="1"/>
      <c r="AD863" s="1"/>
      <c r="AE863" s="1"/>
      <c r="AF863" s="1"/>
      <c r="AG863" s="1"/>
      <c r="AH863" s="1"/>
      <c r="AI863" s="1"/>
      <c r="AJ863" s="1"/>
      <c r="AK863" s="1"/>
    </row>
    <row r="864" ht="30.0" customHeight="1">
      <c r="A864" s="1"/>
      <c r="B864" s="1"/>
      <c r="C864" s="2"/>
      <c r="D864" s="2"/>
      <c r="E864" s="2"/>
      <c r="F864" s="2"/>
      <c r="G864" s="2"/>
      <c r="H864" s="2"/>
      <c r="I864" s="2"/>
      <c r="J864" s="2"/>
      <c r="K864" s="2"/>
      <c r="L864" s="2"/>
      <c r="M864" s="2"/>
      <c r="N864" s="1"/>
      <c r="O864" s="2"/>
      <c r="P864" s="2"/>
      <c r="Q864" s="2"/>
      <c r="R864" s="2"/>
      <c r="S864" s="2"/>
      <c r="T864" s="2"/>
      <c r="U864" s="2"/>
      <c r="V864" s="2"/>
      <c r="W864" s="2"/>
      <c r="X864" s="2"/>
      <c r="Y864" s="2"/>
      <c r="Z864" s="1"/>
      <c r="AA864" s="1"/>
      <c r="AB864" s="1"/>
      <c r="AC864" s="1"/>
      <c r="AD864" s="1"/>
      <c r="AE864" s="1"/>
      <c r="AF864" s="1"/>
      <c r="AG864" s="1"/>
      <c r="AH864" s="1"/>
      <c r="AI864" s="1"/>
      <c r="AJ864" s="1"/>
      <c r="AK864" s="1"/>
    </row>
    <row r="865" ht="30.0" customHeight="1">
      <c r="A865" s="1"/>
      <c r="B865" s="1"/>
      <c r="C865" s="2"/>
      <c r="D865" s="2"/>
      <c r="E865" s="2"/>
      <c r="F865" s="2"/>
      <c r="G865" s="2"/>
      <c r="H865" s="2"/>
      <c r="I865" s="2"/>
      <c r="J865" s="2"/>
      <c r="K865" s="2"/>
      <c r="L865" s="2"/>
      <c r="M865" s="2"/>
      <c r="N865" s="1"/>
      <c r="O865" s="2"/>
      <c r="P865" s="2"/>
      <c r="Q865" s="2"/>
      <c r="R865" s="2"/>
      <c r="S865" s="2"/>
      <c r="T865" s="2"/>
      <c r="U865" s="2"/>
      <c r="V865" s="2"/>
      <c r="W865" s="2"/>
      <c r="X865" s="2"/>
      <c r="Y865" s="2"/>
      <c r="Z865" s="1"/>
      <c r="AA865" s="1"/>
      <c r="AB865" s="1"/>
      <c r="AC865" s="1"/>
      <c r="AD865" s="1"/>
      <c r="AE865" s="1"/>
      <c r="AF865" s="1"/>
      <c r="AG865" s="1"/>
      <c r="AH865" s="1"/>
      <c r="AI865" s="1"/>
      <c r="AJ865" s="1"/>
      <c r="AK865" s="1"/>
    </row>
    <row r="866" ht="30.0" customHeight="1">
      <c r="A866" s="1"/>
      <c r="B866" s="1"/>
      <c r="C866" s="2"/>
      <c r="D866" s="2"/>
      <c r="E866" s="2"/>
      <c r="F866" s="2"/>
      <c r="G866" s="2"/>
      <c r="H866" s="2"/>
      <c r="I866" s="2"/>
      <c r="J866" s="2"/>
      <c r="K866" s="2"/>
      <c r="L866" s="2"/>
      <c r="M866" s="2"/>
      <c r="N866" s="1"/>
      <c r="O866" s="2"/>
      <c r="P866" s="2"/>
      <c r="Q866" s="2"/>
      <c r="R866" s="2"/>
      <c r="S866" s="2"/>
      <c r="T866" s="2"/>
      <c r="U866" s="2"/>
      <c r="V866" s="2"/>
      <c r="W866" s="2"/>
      <c r="X866" s="2"/>
      <c r="Y866" s="2"/>
      <c r="Z866" s="1"/>
      <c r="AA866" s="1"/>
      <c r="AB866" s="1"/>
      <c r="AC866" s="1"/>
      <c r="AD866" s="1"/>
      <c r="AE866" s="1"/>
      <c r="AF866" s="1"/>
      <c r="AG866" s="1"/>
      <c r="AH866" s="1"/>
      <c r="AI866" s="1"/>
      <c r="AJ866" s="1"/>
      <c r="AK866" s="1"/>
    </row>
    <row r="867" ht="30.0" customHeight="1">
      <c r="A867" s="1"/>
      <c r="B867" s="1"/>
      <c r="C867" s="2"/>
      <c r="D867" s="2"/>
      <c r="E867" s="2"/>
      <c r="F867" s="2"/>
      <c r="G867" s="2"/>
      <c r="H867" s="2"/>
      <c r="I867" s="2"/>
      <c r="J867" s="2"/>
      <c r="K867" s="2"/>
      <c r="L867" s="2"/>
      <c r="M867" s="2"/>
      <c r="N867" s="1"/>
      <c r="O867" s="2"/>
      <c r="P867" s="2"/>
      <c r="Q867" s="2"/>
      <c r="R867" s="2"/>
      <c r="S867" s="2"/>
      <c r="T867" s="2"/>
      <c r="U867" s="2"/>
      <c r="V867" s="2"/>
      <c r="W867" s="2"/>
      <c r="X867" s="2"/>
      <c r="Y867" s="2"/>
      <c r="Z867" s="1"/>
      <c r="AA867" s="1"/>
      <c r="AB867" s="1"/>
      <c r="AC867" s="1"/>
      <c r="AD867" s="1"/>
      <c r="AE867" s="1"/>
      <c r="AF867" s="1"/>
      <c r="AG867" s="1"/>
      <c r="AH867" s="1"/>
      <c r="AI867" s="1"/>
      <c r="AJ867" s="1"/>
      <c r="AK867" s="1"/>
    </row>
    <row r="868" ht="30.0" customHeight="1">
      <c r="A868" s="1"/>
      <c r="B868" s="1"/>
      <c r="C868" s="2"/>
      <c r="D868" s="2"/>
      <c r="E868" s="2"/>
      <c r="F868" s="2"/>
      <c r="G868" s="2"/>
      <c r="H868" s="2"/>
      <c r="I868" s="2"/>
      <c r="J868" s="2"/>
      <c r="K868" s="2"/>
      <c r="L868" s="2"/>
      <c r="M868" s="2"/>
      <c r="N868" s="1"/>
      <c r="O868" s="2"/>
      <c r="P868" s="2"/>
      <c r="Q868" s="2"/>
      <c r="R868" s="2"/>
      <c r="S868" s="2"/>
      <c r="T868" s="2"/>
      <c r="U868" s="2"/>
      <c r="V868" s="2"/>
      <c r="W868" s="2"/>
      <c r="X868" s="2"/>
      <c r="Y868" s="2"/>
      <c r="Z868" s="1"/>
      <c r="AA868" s="1"/>
      <c r="AB868" s="1"/>
      <c r="AC868" s="1"/>
      <c r="AD868" s="1"/>
      <c r="AE868" s="1"/>
      <c r="AF868" s="1"/>
      <c r="AG868" s="1"/>
      <c r="AH868" s="1"/>
      <c r="AI868" s="1"/>
      <c r="AJ868" s="1"/>
      <c r="AK868" s="1"/>
    </row>
    <row r="869" ht="30.0" customHeight="1">
      <c r="A869" s="1"/>
      <c r="B869" s="1"/>
      <c r="C869" s="2"/>
      <c r="D869" s="2"/>
      <c r="E869" s="2"/>
      <c r="F869" s="2"/>
      <c r="G869" s="2"/>
      <c r="H869" s="2"/>
      <c r="I869" s="2"/>
      <c r="J869" s="2"/>
      <c r="K869" s="2"/>
      <c r="L869" s="2"/>
      <c r="M869" s="2"/>
      <c r="N869" s="1"/>
      <c r="O869" s="2"/>
      <c r="P869" s="2"/>
      <c r="Q869" s="2"/>
      <c r="R869" s="2"/>
      <c r="S869" s="2"/>
      <c r="T869" s="2"/>
      <c r="U869" s="2"/>
      <c r="V869" s="2"/>
      <c r="W869" s="2"/>
      <c r="X869" s="2"/>
      <c r="Y869" s="2"/>
      <c r="Z869" s="1"/>
      <c r="AA869" s="1"/>
      <c r="AB869" s="1"/>
      <c r="AC869" s="1"/>
      <c r="AD869" s="1"/>
      <c r="AE869" s="1"/>
      <c r="AF869" s="1"/>
      <c r="AG869" s="1"/>
      <c r="AH869" s="1"/>
      <c r="AI869" s="1"/>
      <c r="AJ869" s="1"/>
      <c r="AK869" s="1"/>
    </row>
    <row r="870" ht="30.0" customHeight="1">
      <c r="A870" s="1"/>
      <c r="B870" s="1"/>
      <c r="C870" s="2"/>
      <c r="D870" s="2"/>
      <c r="E870" s="2"/>
      <c r="F870" s="2"/>
      <c r="G870" s="2"/>
      <c r="H870" s="2"/>
      <c r="I870" s="2"/>
      <c r="J870" s="2"/>
      <c r="K870" s="2"/>
      <c r="L870" s="2"/>
      <c r="M870" s="2"/>
      <c r="N870" s="1"/>
      <c r="O870" s="2"/>
      <c r="P870" s="2"/>
      <c r="Q870" s="2"/>
      <c r="R870" s="2"/>
      <c r="S870" s="2"/>
      <c r="T870" s="2"/>
      <c r="U870" s="2"/>
      <c r="V870" s="2"/>
      <c r="W870" s="2"/>
      <c r="X870" s="2"/>
      <c r="Y870" s="2"/>
      <c r="Z870" s="1"/>
      <c r="AA870" s="1"/>
      <c r="AB870" s="1"/>
      <c r="AC870" s="1"/>
      <c r="AD870" s="1"/>
      <c r="AE870" s="1"/>
      <c r="AF870" s="1"/>
      <c r="AG870" s="1"/>
      <c r="AH870" s="1"/>
      <c r="AI870" s="1"/>
      <c r="AJ870" s="1"/>
      <c r="AK870" s="1"/>
    </row>
    <row r="871" ht="30.0" customHeight="1">
      <c r="A871" s="1"/>
      <c r="B871" s="1"/>
      <c r="C871" s="2"/>
      <c r="D871" s="2"/>
      <c r="E871" s="2"/>
      <c r="F871" s="2"/>
      <c r="G871" s="2"/>
      <c r="H871" s="2"/>
      <c r="I871" s="2"/>
      <c r="J871" s="2"/>
      <c r="K871" s="2"/>
      <c r="L871" s="2"/>
      <c r="M871" s="2"/>
      <c r="N871" s="1"/>
      <c r="O871" s="2"/>
      <c r="P871" s="2"/>
      <c r="Q871" s="2"/>
      <c r="R871" s="2"/>
      <c r="S871" s="2"/>
      <c r="T871" s="2"/>
      <c r="U871" s="2"/>
      <c r="V871" s="2"/>
      <c r="W871" s="2"/>
      <c r="X871" s="2"/>
      <c r="Y871" s="2"/>
      <c r="Z871" s="1"/>
      <c r="AA871" s="1"/>
      <c r="AB871" s="1"/>
      <c r="AC871" s="1"/>
      <c r="AD871" s="1"/>
      <c r="AE871" s="1"/>
      <c r="AF871" s="1"/>
      <c r="AG871" s="1"/>
      <c r="AH871" s="1"/>
      <c r="AI871" s="1"/>
      <c r="AJ871" s="1"/>
      <c r="AK871" s="1"/>
    </row>
    <row r="872" ht="30.0" customHeight="1">
      <c r="A872" s="1"/>
      <c r="B872" s="1"/>
      <c r="C872" s="2"/>
      <c r="D872" s="2"/>
      <c r="E872" s="2"/>
      <c r="F872" s="2"/>
      <c r="G872" s="2"/>
      <c r="H872" s="2"/>
      <c r="I872" s="2"/>
      <c r="J872" s="2"/>
      <c r="K872" s="2"/>
      <c r="L872" s="2"/>
      <c r="M872" s="2"/>
      <c r="N872" s="1"/>
      <c r="O872" s="2"/>
      <c r="P872" s="2"/>
      <c r="Q872" s="2"/>
      <c r="R872" s="2"/>
      <c r="S872" s="2"/>
      <c r="T872" s="2"/>
      <c r="U872" s="2"/>
      <c r="V872" s="2"/>
      <c r="W872" s="2"/>
      <c r="X872" s="2"/>
      <c r="Y872" s="2"/>
      <c r="Z872" s="1"/>
      <c r="AA872" s="1"/>
      <c r="AB872" s="1"/>
      <c r="AC872" s="1"/>
      <c r="AD872" s="1"/>
      <c r="AE872" s="1"/>
      <c r="AF872" s="1"/>
      <c r="AG872" s="1"/>
      <c r="AH872" s="1"/>
      <c r="AI872" s="1"/>
      <c r="AJ872" s="1"/>
      <c r="AK872" s="1"/>
    </row>
    <row r="873" ht="30.0" customHeight="1">
      <c r="A873" s="1"/>
      <c r="B873" s="1"/>
      <c r="C873" s="2"/>
      <c r="D873" s="2"/>
      <c r="E873" s="2"/>
      <c r="F873" s="2"/>
      <c r="G873" s="2"/>
      <c r="H873" s="2"/>
      <c r="I873" s="2"/>
      <c r="J873" s="2"/>
      <c r="K873" s="2"/>
      <c r="L873" s="2"/>
      <c r="M873" s="2"/>
      <c r="N873" s="1"/>
      <c r="O873" s="2"/>
      <c r="P873" s="2"/>
      <c r="Q873" s="2"/>
      <c r="R873" s="2"/>
      <c r="S873" s="2"/>
      <c r="T873" s="2"/>
      <c r="U873" s="2"/>
      <c r="V873" s="2"/>
      <c r="W873" s="2"/>
      <c r="X873" s="2"/>
      <c r="Y873" s="2"/>
      <c r="Z873" s="1"/>
      <c r="AA873" s="1"/>
      <c r="AB873" s="1"/>
      <c r="AC873" s="1"/>
      <c r="AD873" s="1"/>
      <c r="AE873" s="1"/>
      <c r="AF873" s="1"/>
      <c r="AG873" s="1"/>
      <c r="AH873" s="1"/>
      <c r="AI873" s="1"/>
      <c r="AJ873" s="1"/>
      <c r="AK873" s="1"/>
    </row>
    <row r="874" ht="30.0" customHeight="1">
      <c r="A874" s="1"/>
      <c r="B874" s="1"/>
      <c r="C874" s="2"/>
      <c r="D874" s="2"/>
      <c r="E874" s="2"/>
      <c r="F874" s="2"/>
      <c r="G874" s="2"/>
      <c r="H874" s="2"/>
      <c r="I874" s="2"/>
      <c r="J874" s="2"/>
      <c r="K874" s="2"/>
      <c r="L874" s="2"/>
      <c r="M874" s="2"/>
      <c r="N874" s="1"/>
      <c r="O874" s="2"/>
      <c r="P874" s="2"/>
      <c r="Q874" s="2"/>
      <c r="R874" s="2"/>
      <c r="S874" s="2"/>
      <c r="T874" s="2"/>
      <c r="U874" s="2"/>
      <c r="V874" s="2"/>
      <c r="W874" s="2"/>
      <c r="X874" s="2"/>
      <c r="Y874" s="2"/>
      <c r="Z874" s="1"/>
      <c r="AA874" s="1"/>
      <c r="AB874" s="1"/>
      <c r="AC874" s="1"/>
      <c r="AD874" s="1"/>
      <c r="AE874" s="1"/>
      <c r="AF874" s="1"/>
      <c r="AG874" s="1"/>
      <c r="AH874" s="1"/>
      <c r="AI874" s="1"/>
      <c r="AJ874" s="1"/>
      <c r="AK874" s="1"/>
    </row>
    <row r="875" ht="30.0" customHeight="1">
      <c r="A875" s="1"/>
      <c r="B875" s="1"/>
      <c r="C875" s="2"/>
      <c r="D875" s="2"/>
      <c r="E875" s="2"/>
      <c r="F875" s="2"/>
      <c r="G875" s="2"/>
      <c r="H875" s="2"/>
      <c r="I875" s="2"/>
      <c r="J875" s="2"/>
      <c r="K875" s="2"/>
      <c r="L875" s="2"/>
      <c r="M875" s="2"/>
      <c r="N875" s="1"/>
      <c r="O875" s="2"/>
      <c r="P875" s="2"/>
      <c r="Q875" s="2"/>
      <c r="R875" s="2"/>
      <c r="S875" s="2"/>
      <c r="T875" s="2"/>
      <c r="U875" s="2"/>
      <c r="V875" s="2"/>
      <c r="W875" s="2"/>
      <c r="X875" s="2"/>
      <c r="Y875" s="2"/>
      <c r="Z875" s="1"/>
      <c r="AA875" s="1"/>
      <c r="AB875" s="1"/>
      <c r="AC875" s="1"/>
      <c r="AD875" s="1"/>
      <c r="AE875" s="1"/>
      <c r="AF875" s="1"/>
      <c r="AG875" s="1"/>
      <c r="AH875" s="1"/>
      <c r="AI875" s="1"/>
      <c r="AJ875" s="1"/>
      <c r="AK875" s="1"/>
    </row>
    <row r="876" ht="30.0" customHeight="1">
      <c r="A876" s="1"/>
      <c r="B876" s="1"/>
      <c r="C876" s="2"/>
      <c r="D876" s="2"/>
      <c r="E876" s="2"/>
      <c r="F876" s="2"/>
      <c r="G876" s="2"/>
      <c r="H876" s="2"/>
      <c r="I876" s="2"/>
      <c r="J876" s="2"/>
      <c r="K876" s="2"/>
      <c r="L876" s="2"/>
      <c r="M876" s="2"/>
      <c r="N876" s="1"/>
      <c r="O876" s="2"/>
      <c r="P876" s="2"/>
      <c r="Q876" s="2"/>
      <c r="R876" s="2"/>
      <c r="S876" s="2"/>
      <c r="T876" s="2"/>
      <c r="U876" s="2"/>
      <c r="V876" s="2"/>
      <c r="W876" s="2"/>
      <c r="X876" s="2"/>
      <c r="Y876" s="2"/>
      <c r="Z876" s="1"/>
      <c r="AA876" s="1"/>
      <c r="AB876" s="1"/>
      <c r="AC876" s="1"/>
      <c r="AD876" s="1"/>
      <c r="AE876" s="1"/>
      <c r="AF876" s="1"/>
      <c r="AG876" s="1"/>
      <c r="AH876" s="1"/>
      <c r="AI876" s="1"/>
      <c r="AJ876" s="1"/>
      <c r="AK876" s="1"/>
    </row>
    <row r="877" ht="30.0" customHeight="1">
      <c r="A877" s="1"/>
      <c r="B877" s="1"/>
      <c r="C877" s="2"/>
      <c r="D877" s="2"/>
      <c r="E877" s="2"/>
      <c r="F877" s="2"/>
      <c r="G877" s="2"/>
      <c r="H877" s="2"/>
      <c r="I877" s="2"/>
      <c r="J877" s="2"/>
      <c r="K877" s="2"/>
      <c r="L877" s="2"/>
      <c r="M877" s="2"/>
      <c r="N877" s="1"/>
      <c r="O877" s="2"/>
      <c r="P877" s="2"/>
      <c r="Q877" s="2"/>
      <c r="R877" s="2"/>
      <c r="S877" s="2"/>
      <c r="T877" s="2"/>
      <c r="U877" s="2"/>
      <c r="V877" s="2"/>
      <c r="W877" s="2"/>
      <c r="X877" s="2"/>
      <c r="Y877" s="2"/>
      <c r="Z877" s="1"/>
      <c r="AA877" s="1"/>
      <c r="AB877" s="1"/>
      <c r="AC877" s="1"/>
      <c r="AD877" s="1"/>
      <c r="AE877" s="1"/>
      <c r="AF877" s="1"/>
      <c r="AG877" s="1"/>
      <c r="AH877" s="1"/>
      <c r="AI877" s="1"/>
      <c r="AJ877" s="1"/>
      <c r="AK877" s="1"/>
    </row>
    <row r="878" ht="30.0" customHeight="1">
      <c r="A878" s="1"/>
      <c r="B878" s="1"/>
      <c r="C878" s="2"/>
      <c r="D878" s="2"/>
      <c r="E878" s="2"/>
      <c r="F878" s="2"/>
      <c r="G878" s="2"/>
      <c r="H878" s="2"/>
      <c r="I878" s="2"/>
      <c r="J878" s="2"/>
      <c r="K878" s="2"/>
      <c r="L878" s="2"/>
      <c r="M878" s="2"/>
      <c r="N878" s="1"/>
      <c r="O878" s="2"/>
      <c r="P878" s="2"/>
      <c r="Q878" s="2"/>
      <c r="R878" s="2"/>
      <c r="S878" s="2"/>
      <c r="T878" s="2"/>
      <c r="U878" s="2"/>
      <c r="V878" s="2"/>
      <c r="W878" s="2"/>
      <c r="X878" s="2"/>
      <c r="Y878" s="2"/>
      <c r="Z878" s="1"/>
      <c r="AA878" s="1"/>
      <c r="AB878" s="1"/>
      <c r="AC878" s="1"/>
      <c r="AD878" s="1"/>
      <c r="AE878" s="1"/>
      <c r="AF878" s="1"/>
      <c r="AG878" s="1"/>
      <c r="AH878" s="1"/>
      <c r="AI878" s="1"/>
      <c r="AJ878" s="1"/>
      <c r="AK878" s="1"/>
    </row>
    <row r="879" ht="30.0" customHeight="1">
      <c r="A879" s="1"/>
      <c r="B879" s="1"/>
      <c r="C879" s="2"/>
      <c r="D879" s="2"/>
      <c r="E879" s="2"/>
      <c r="F879" s="2"/>
      <c r="G879" s="2"/>
      <c r="H879" s="2"/>
      <c r="I879" s="2"/>
      <c r="J879" s="2"/>
      <c r="K879" s="2"/>
      <c r="L879" s="2"/>
      <c r="M879" s="2"/>
      <c r="N879" s="1"/>
      <c r="O879" s="2"/>
      <c r="P879" s="2"/>
      <c r="Q879" s="2"/>
      <c r="R879" s="2"/>
      <c r="S879" s="2"/>
      <c r="T879" s="2"/>
      <c r="U879" s="2"/>
      <c r="V879" s="2"/>
      <c r="W879" s="2"/>
      <c r="X879" s="2"/>
      <c r="Y879" s="2"/>
      <c r="Z879" s="1"/>
      <c r="AA879" s="1"/>
      <c r="AB879" s="1"/>
      <c r="AC879" s="1"/>
      <c r="AD879" s="1"/>
      <c r="AE879" s="1"/>
      <c r="AF879" s="1"/>
      <c r="AG879" s="1"/>
      <c r="AH879" s="1"/>
      <c r="AI879" s="1"/>
      <c r="AJ879" s="1"/>
      <c r="AK879" s="1"/>
    </row>
    <row r="880" ht="30.0" customHeight="1">
      <c r="A880" s="1"/>
      <c r="B880" s="1"/>
      <c r="C880" s="2"/>
      <c r="D880" s="2"/>
      <c r="E880" s="2"/>
      <c r="F880" s="2"/>
      <c r="G880" s="2"/>
      <c r="H880" s="2"/>
      <c r="I880" s="2"/>
      <c r="J880" s="2"/>
      <c r="K880" s="2"/>
      <c r="L880" s="2"/>
      <c r="M880" s="2"/>
      <c r="N880" s="1"/>
      <c r="O880" s="2"/>
      <c r="P880" s="2"/>
      <c r="Q880" s="2"/>
      <c r="R880" s="2"/>
      <c r="S880" s="2"/>
      <c r="T880" s="2"/>
      <c r="U880" s="2"/>
      <c r="V880" s="2"/>
      <c r="W880" s="2"/>
      <c r="X880" s="2"/>
      <c r="Y880" s="2"/>
      <c r="Z880" s="1"/>
      <c r="AA880" s="1"/>
      <c r="AB880" s="1"/>
      <c r="AC880" s="1"/>
      <c r="AD880" s="1"/>
      <c r="AE880" s="1"/>
      <c r="AF880" s="1"/>
      <c r="AG880" s="1"/>
      <c r="AH880" s="1"/>
      <c r="AI880" s="1"/>
      <c r="AJ880" s="1"/>
      <c r="AK880" s="1"/>
    </row>
    <row r="881" ht="30.0" customHeight="1">
      <c r="A881" s="1"/>
      <c r="B881" s="1"/>
      <c r="C881" s="2"/>
      <c r="D881" s="2"/>
      <c r="E881" s="2"/>
      <c r="F881" s="2"/>
      <c r="G881" s="2"/>
      <c r="H881" s="2"/>
      <c r="I881" s="2"/>
      <c r="J881" s="2"/>
      <c r="K881" s="2"/>
      <c r="L881" s="2"/>
      <c r="M881" s="2"/>
      <c r="N881" s="1"/>
      <c r="O881" s="2"/>
      <c r="P881" s="2"/>
      <c r="Q881" s="2"/>
      <c r="R881" s="2"/>
      <c r="S881" s="2"/>
      <c r="T881" s="2"/>
      <c r="U881" s="2"/>
      <c r="V881" s="2"/>
      <c r="W881" s="2"/>
      <c r="X881" s="2"/>
      <c r="Y881" s="2"/>
      <c r="Z881" s="1"/>
      <c r="AA881" s="1"/>
      <c r="AB881" s="1"/>
      <c r="AC881" s="1"/>
      <c r="AD881" s="1"/>
      <c r="AE881" s="1"/>
      <c r="AF881" s="1"/>
      <c r="AG881" s="1"/>
      <c r="AH881" s="1"/>
      <c r="AI881" s="1"/>
      <c r="AJ881" s="1"/>
      <c r="AK881" s="1"/>
    </row>
    <row r="882" ht="30.0" customHeight="1">
      <c r="A882" s="1"/>
      <c r="B882" s="1"/>
      <c r="C882" s="2"/>
      <c r="D882" s="2"/>
      <c r="E882" s="2"/>
      <c r="F882" s="2"/>
      <c r="G882" s="2"/>
      <c r="H882" s="2"/>
      <c r="I882" s="2"/>
      <c r="J882" s="2"/>
      <c r="K882" s="2"/>
      <c r="L882" s="2"/>
      <c r="M882" s="2"/>
      <c r="N882" s="1"/>
      <c r="O882" s="2"/>
      <c r="P882" s="2"/>
      <c r="Q882" s="2"/>
      <c r="R882" s="2"/>
      <c r="S882" s="2"/>
      <c r="T882" s="2"/>
      <c r="U882" s="2"/>
      <c r="V882" s="2"/>
      <c r="W882" s="2"/>
      <c r="X882" s="2"/>
      <c r="Y882" s="2"/>
      <c r="Z882" s="1"/>
      <c r="AA882" s="1"/>
      <c r="AB882" s="1"/>
      <c r="AC882" s="1"/>
      <c r="AD882" s="1"/>
      <c r="AE882" s="1"/>
      <c r="AF882" s="1"/>
      <c r="AG882" s="1"/>
      <c r="AH882" s="1"/>
      <c r="AI882" s="1"/>
      <c r="AJ882" s="1"/>
      <c r="AK882" s="1"/>
    </row>
    <row r="883" ht="30.0" customHeight="1">
      <c r="A883" s="1"/>
      <c r="B883" s="1"/>
      <c r="C883" s="2"/>
      <c r="D883" s="2"/>
      <c r="E883" s="2"/>
      <c r="F883" s="2"/>
      <c r="G883" s="2"/>
      <c r="H883" s="2"/>
      <c r="I883" s="2"/>
      <c r="J883" s="2"/>
      <c r="K883" s="2"/>
      <c r="L883" s="2"/>
      <c r="M883" s="2"/>
      <c r="N883" s="1"/>
      <c r="O883" s="2"/>
      <c r="P883" s="2"/>
      <c r="Q883" s="2"/>
      <c r="R883" s="2"/>
      <c r="S883" s="2"/>
      <c r="T883" s="2"/>
      <c r="U883" s="2"/>
      <c r="V883" s="2"/>
      <c r="W883" s="2"/>
      <c r="X883" s="2"/>
      <c r="Y883" s="2"/>
      <c r="Z883" s="1"/>
      <c r="AA883" s="1"/>
      <c r="AB883" s="1"/>
      <c r="AC883" s="1"/>
      <c r="AD883" s="1"/>
      <c r="AE883" s="1"/>
      <c r="AF883" s="1"/>
      <c r="AG883" s="1"/>
      <c r="AH883" s="1"/>
      <c r="AI883" s="1"/>
      <c r="AJ883" s="1"/>
      <c r="AK883" s="1"/>
    </row>
    <row r="884" ht="30.0" customHeight="1">
      <c r="A884" s="1"/>
      <c r="B884" s="1"/>
      <c r="C884" s="2"/>
      <c r="D884" s="2"/>
      <c r="E884" s="2"/>
      <c r="F884" s="2"/>
      <c r="G884" s="2"/>
      <c r="H884" s="2"/>
      <c r="I884" s="2"/>
      <c r="J884" s="2"/>
      <c r="K884" s="2"/>
      <c r="L884" s="2"/>
      <c r="M884" s="2"/>
      <c r="N884" s="1"/>
      <c r="O884" s="2"/>
      <c r="P884" s="2"/>
      <c r="Q884" s="2"/>
      <c r="R884" s="2"/>
      <c r="S884" s="2"/>
      <c r="T884" s="2"/>
      <c r="U884" s="2"/>
      <c r="V884" s="2"/>
      <c r="W884" s="2"/>
      <c r="X884" s="2"/>
      <c r="Y884" s="2"/>
      <c r="Z884" s="1"/>
      <c r="AA884" s="1"/>
      <c r="AB884" s="1"/>
      <c r="AC884" s="1"/>
      <c r="AD884" s="1"/>
      <c r="AE884" s="1"/>
      <c r="AF884" s="1"/>
      <c r="AG884" s="1"/>
      <c r="AH884" s="1"/>
      <c r="AI884" s="1"/>
      <c r="AJ884" s="1"/>
      <c r="AK884" s="1"/>
    </row>
    <row r="885" ht="30.0" customHeight="1">
      <c r="A885" s="1"/>
      <c r="B885" s="1"/>
      <c r="C885" s="2"/>
      <c r="D885" s="2"/>
      <c r="E885" s="2"/>
      <c r="F885" s="2"/>
      <c r="G885" s="2"/>
      <c r="H885" s="2"/>
      <c r="I885" s="2"/>
      <c r="J885" s="2"/>
      <c r="K885" s="2"/>
      <c r="L885" s="2"/>
      <c r="M885" s="2"/>
      <c r="N885" s="1"/>
      <c r="O885" s="2"/>
      <c r="P885" s="2"/>
      <c r="Q885" s="2"/>
      <c r="R885" s="2"/>
      <c r="S885" s="2"/>
      <c r="T885" s="2"/>
      <c r="U885" s="2"/>
      <c r="V885" s="2"/>
      <c r="W885" s="2"/>
      <c r="X885" s="2"/>
      <c r="Y885" s="2"/>
      <c r="Z885" s="1"/>
      <c r="AA885" s="1"/>
      <c r="AB885" s="1"/>
      <c r="AC885" s="1"/>
      <c r="AD885" s="1"/>
      <c r="AE885" s="1"/>
      <c r="AF885" s="1"/>
      <c r="AG885" s="1"/>
      <c r="AH885" s="1"/>
      <c r="AI885" s="1"/>
      <c r="AJ885" s="1"/>
      <c r="AK885" s="1"/>
    </row>
    <row r="886" ht="30.0" customHeight="1">
      <c r="A886" s="1"/>
      <c r="B886" s="1"/>
      <c r="C886" s="2"/>
      <c r="D886" s="2"/>
      <c r="E886" s="2"/>
      <c r="F886" s="2"/>
      <c r="G886" s="2"/>
      <c r="H886" s="2"/>
      <c r="I886" s="2"/>
      <c r="J886" s="2"/>
      <c r="K886" s="2"/>
      <c r="L886" s="2"/>
      <c r="M886" s="2"/>
      <c r="N886" s="1"/>
      <c r="O886" s="2"/>
      <c r="P886" s="2"/>
      <c r="Q886" s="2"/>
      <c r="R886" s="2"/>
      <c r="S886" s="2"/>
      <c r="T886" s="2"/>
      <c r="U886" s="2"/>
      <c r="V886" s="2"/>
      <c r="W886" s="2"/>
      <c r="X886" s="2"/>
      <c r="Y886" s="2"/>
      <c r="Z886" s="1"/>
      <c r="AA886" s="1"/>
      <c r="AB886" s="1"/>
      <c r="AC886" s="1"/>
      <c r="AD886" s="1"/>
      <c r="AE886" s="1"/>
      <c r="AF886" s="1"/>
      <c r="AG886" s="1"/>
      <c r="AH886" s="1"/>
      <c r="AI886" s="1"/>
      <c r="AJ886" s="1"/>
      <c r="AK886" s="1"/>
    </row>
    <row r="887" ht="30.0" customHeight="1">
      <c r="A887" s="1"/>
      <c r="B887" s="1"/>
      <c r="C887" s="2"/>
      <c r="D887" s="2"/>
      <c r="E887" s="2"/>
      <c r="F887" s="2"/>
      <c r="G887" s="2"/>
      <c r="H887" s="2"/>
      <c r="I887" s="2"/>
      <c r="J887" s="2"/>
      <c r="K887" s="2"/>
      <c r="L887" s="2"/>
      <c r="M887" s="2"/>
      <c r="N887" s="1"/>
      <c r="O887" s="2"/>
      <c r="P887" s="2"/>
      <c r="Q887" s="2"/>
      <c r="R887" s="2"/>
      <c r="S887" s="2"/>
      <c r="T887" s="2"/>
      <c r="U887" s="2"/>
      <c r="V887" s="2"/>
      <c r="W887" s="2"/>
      <c r="X887" s="2"/>
      <c r="Y887" s="2"/>
      <c r="Z887" s="1"/>
      <c r="AA887" s="1"/>
      <c r="AB887" s="1"/>
      <c r="AC887" s="1"/>
      <c r="AD887" s="1"/>
      <c r="AE887" s="1"/>
      <c r="AF887" s="1"/>
      <c r="AG887" s="1"/>
      <c r="AH887" s="1"/>
      <c r="AI887" s="1"/>
      <c r="AJ887" s="1"/>
      <c r="AK887" s="1"/>
    </row>
    <row r="888" ht="30.0" customHeight="1">
      <c r="A888" s="1"/>
      <c r="B888" s="1"/>
      <c r="C888" s="2"/>
      <c r="D888" s="2"/>
      <c r="E888" s="2"/>
      <c r="F888" s="2"/>
      <c r="G888" s="2"/>
      <c r="H888" s="2"/>
      <c r="I888" s="2"/>
      <c r="J888" s="2"/>
      <c r="K888" s="2"/>
      <c r="L888" s="2"/>
      <c r="M888" s="2"/>
      <c r="N888" s="1"/>
      <c r="O888" s="2"/>
      <c r="P888" s="2"/>
      <c r="Q888" s="2"/>
      <c r="R888" s="2"/>
      <c r="S888" s="2"/>
      <c r="T888" s="2"/>
      <c r="U888" s="2"/>
      <c r="V888" s="2"/>
      <c r="W888" s="2"/>
      <c r="X888" s="2"/>
      <c r="Y888" s="2"/>
      <c r="Z888" s="1"/>
      <c r="AA888" s="1"/>
      <c r="AB888" s="1"/>
      <c r="AC888" s="1"/>
      <c r="AD888" s="1"/>
      <c r="AE888" s="1"/>
      <c r="AF888" s="1"/>
      <c r="AG888" s="1"/>
      <c r="AH888" s="1"/>
      <c r="AI888" s="1"/>
      <c r="AJ888" s="1"/>
      <c r="AK888" s="1"/>
    </row>
    <row r="889" ht="30.0" customHeight="1">
      <c r="A889" s="1"/>
      <c r="B889" s="1"/>
      <c r="C889" s="2"/>
      <c r="D889" s="2"/>
      <c r="E889" s="2"/>
      <c r="F889" s="2"/>
      <c r="G889" s="2"/>
      <c r="H889" s="2"/>
      <c r="I889" s="2"/>
      <c r="J889" s="2"/>
      <c r="K889" s="2"/>
      <c r="L889" s="2"/>
      <c r="M889" s="2"/>
      <c r="N889" s="1"/>
      <c r="O889" s="2"/>
      <c r="P889" s="2"/>
      <c r="Q889" s="2"/>
      <c r="R889" s="2"/>
      <c r="S889" s="2"/>
      <c r="T889" s="2"/>
      <c r="U889" s="2"/>
      <c r="V889" s="2"/>
      <c r="W889" s="2"/>
      <c r="X889" s="2"/>
      <c r="Y889" s="2"/>
      <c r="Z889" s="1"/>
      <c r="AA889" s="1"/>
      <c r="AB889" s="1"/>
      <c r="AC889" s="1"/>
      <c r="AD889" s="1"/>
      <c r="AE889" s="1"/>
      <c r="AF889" s="1"/>
      <c r="AG889" s="1"/>
      <c r="AH889" s="1"/>
      <c r="AI889" s="1"/>
      <c r="AJ889" s="1"/>
      <c r="AK889" s="1"/>
    </row>
    <row r="890" ht="30.0" customHeight="1">
      <c r="A890" s="1"/>
      <c r="B890" s="1"/>
      <c r="C890" s="2"/>
      <c r="D890" s="2"/>
      <c r="E890" s="2"/>
      <c r="F890" s="2"/>
      <c r="G890" s="2"/>
      <c r="H890" s="2"/>
      <c r="I890" s="2"/>
      <c r="J890" s="2"/>
      <c r="K890" s="2"/>
      <c r="L890" s="2"/>
      <c r="M890" s="2"/>
      <c r="N890" s="1"/>
      <c r="O890" s="2"/>
      <c r="P890" s="2"/>
      <c r="Q890" s="2"/>
      <c r="R890" s="2"/>
      <c r="S890" s="2"/>
      <c r="T890" s="2"/>
      <c r="U890" s="2"/>
      <c r="V890" s="2"/>
      <c r="W890" s="2"/>
      <c r="X890" s="2"/>
      <c r="Y890" s="2"/>
      <c r="Z890" s="1"/>
      <c r="AA890" s="1"/>
      <c r="AB890" s="1"/>
      <c r="AC890" s="1"/>
      <c r="AD890" s="1"/>
      <c r="AE890" s="1"/>
      <c r="AF890" s="1"/>
      <c r="AG890" s="1"/>
      <c r="AH890" s="1"/>
      <c r="AI890" s="1"/>
      <c r="AJ890" s="1"/>
      <c r="AK890" s="1"/>
    </row>
    <row r="891" ht="30.0" customHeight="1">
      <c r="A891" s="1"/>
      <c r="B891" s="1"/>
      <c r="C891" s="2"/>
      <c r="D891" s="2"/>
      <c r="E891" s="2"/>
      <c r="F891" s="2"/>
      <c r="G891" s="2"/>
      <c r="H891" s="2"/>
      <c r="I891" s="2"/>
      <c r="J891" s="2"/>
      <c r="K891" s="2"/>
      <c r="L891" s="2"/>
      <c r="M891" s="2"/>
      <c r="N891" s="1"/>
      <c r="O891" s="2"/>
      <c r="P891" s="2"/>
      <c r="Q891" s="2"/>
      <c r="R891" s="2"/>
      <c r="S891" s="2"/>
      <c r="T891" s="2"/>
      <c r="U891" s="2"/>
      <c r="V891" s="2"/>
      <c r="W891" s="2"/>
      <c r="X891" s="2"/>
      <c r="Y891" s="2"/>
      <c r="Z891" s="1"/>
      <c r="AA891" s="1"/>
      <c r="AB891" s="1"/>
      <c r="AC891" s="1"/>
      <c r="AD891" s="1"/>
      <c r="AE891" s="1"/>
      <c r="AF891" s="1"/>
      <c r="AG891" s="1"/>
      <c r="AH891" s="1"/>
      <c r="AI891" s="1"/>
      <c r="AJ891" s="1"/>
      <c r="AK891" s="1"/>
    </row>
    <row r="892" ht="30.0" customHeight="1">
      <c r="A892" s="1"/>
      <c r="B892" s="1"/>
      <c r="C892" s="2"/>
      <c r="D892" s="2"/>
      <c r="E892" s="2"/>
      <c r="F892" s="2"/>
      <c r="G892" s="2"/>
      <c r="H892" s="2"/>
      <c r="I892" s="2"/>
      <c r="J892" s="2"/>
      <c r="K892" s="2"/>
      <c r="L892" s="2"/>
      <c r="M892" s="2"/>
      <c r="N892" s="1"/>
      <c r="O892" s="2"/>
      <c r="P892" s="2"/>
      <c r="Q892" s="2"/>
      <c r="R892" s="2"/>
      <c r="S892" s="2"/>
      <c r="T892" s="2"/>
      <c r="U892" s="2"/>
      <c r="V892" s="2"/>
      <c r="W892" s="2"/>
      <c r="X892" s="2"/>
      <c r="Y892" s="2"/>
      <c r="Z892" s="1"/>
      <c r="AA892" s="1"/>
      <c r="AB892" s="1"/>
      <c r="AC892" s="1"/>
      <c r="AD892" s="1"/>
      <c r="AE892" s="1"/>
      <c r="AF892" s="1"/>
      <c r="AG892" s="1"/>
      <c r="AH892" s="1"/>
      <c r="AI892" s="1"/>
      <c r="AJ892" s="1"/>
      <c r="AK892" s="1"/>
    </row>
    <row r="893" ht="30.0" customHeight="1">
      <c r="A893" s="1"/>
      <c r="B893" s="1"/>
      <c r="C893" s="2"/>
      <c r="D893" s="2"/>
      <c r="E893" s="2"/>
      <c r="F893" s="2"/>
      <c r="G893" s="2"/>
      <c r="H893" s="2"/>
      <c r="I893" s="2"/>
      <c r="J893" s="2"/>
      <c r="K893" s="2"/>
      <c r="L893" s="2"/>
      <c r="M893" s="2"/>
      <c r="N893" s="1"/>
      <c r="O893" s="2"/>
      <c r="P893" s="2"/>
      <c r="Q893" s="2"/>
      <c r="R893" s="2"/>
      <c r="S893" s="2"/>
      <c r="T893" s="2"/>
      <c r="U893" s="2"/>
      <c r="V893" s="2"/>
      <c r="W893" s="2"/>
      <c r="X893" s="2"/>
      <c r="Y893" s="2"/>
      <c r="Z893" s="1"/>
      <c r="AA893" s="1"/>
      <c r="AB893" s="1"/>
      <c r="AC893" s="1"/>
      <c r="AD893" s="1"/>
      <c r="AE893" s="1"/>
      <c r="AF893" s="1"/>
      <c r="AG893" s="1"/>
      <c r="AH893" s="1"/>
      <c r="AI893" s="1"/>
      <c r="AJ893" s="1"/>
      <c r="AK893" s="1"/>
    </row>
    <row r="894" ht="30.0" customHeight="1">
      <c r="A894" s="1"/>
      <c r="B894" s="1"/>
      <c r="C894" s="2"/>
      <c r="D894" s="2"/>
      <c r="E894" s="2"/>
      <c r="F894" s="2"/>
      <c r="G894" s="2"/>
      <c r="H894" s="2"/>
      <c r="I894" s="2"/>
      <c r="J894" s="2"/>
      <c r="K894" s="2"/>
      <c r="L894" s="2"/>
      <c r="M894" s="2"/>
      <c r="N894" s="1"/>
      <c r="O894" s="2"/>
      <c r="P894" s="2"/>
      <c r="Q894" s="2"/>
      <c r="R894" s="2"/>
      <c r="S894" s="2"/>
      <c r="T894" s="2"/>
      <c r="U894" s="2"/>
      <c r="V894" s="2"/>
      <c r="W894" s="2"/>
      <c r="X894" s="2"/>
      <c r="Y894" s="2"/>
      <c r="Z894" s="1"/>
      <c r="AA894" s="1"/>
      <c r="AB894" s="1"/>
      <c r="AC894" s="1"/>
      <c r="AD894" s="1"/>
      <c r="AE894" s="1"/>
      <c r="AF894" s="1"/>
      <c r="AG894" s="1"/>
      <c r="AH894" s="1"/>
      <c r="AI894" s="1"/>
      <c r="AJ894" s="1"/>
      <c r="AK894" s="1"/>
    </row>
    <row r="895" ht="30.0" customHeight="1">
      <c r="A895" s="1"/>
      <c r="B895" s="1"/>
      <c r="C895" s="2"/>
      <c r="D895" s="2"/>
      <c r="E895" s="2"/>
      <c r="F895" s="2"/>
      <c r="G895" s="2"/>
      <c r="H895" s="2"/>
      <c r="I895" s="2"/>
      <c r="J895" s="2"/>
      <c r="K895" s="2"/>
      <c r="L895" s="2"/>
      <c r="M895" s="2"/>
      <c r="N895" s="1"/>
      <c r="O895" s="2"/>
      <c r="P895" s="2"/>
      <c r="Q895" s="2"/>
      <c r="R895" s="2"/>
      <c r="S895" s="2"/>
      <c r="T895" s="2"/>
      <c r="U895" s="2"/>
      <c r="V895" s="2"/>
      <c r="W895" s="2"/>
      <c r="X895" s="2"/>
      <c r="Y895" s="2"/>
      <c r="Z895" s="1"/>
      <c r="AA895" s="1"/>
      <c r="AB895" s="1"/>
      <c r="AC895" s="1"/>
      <c r="AD895" s="1"/>
      <c r="AE895" s="1"/>
      <c r="AF895" s="1"/>
      <c r="AG895" s="1"/>
      <c r="AH895" s="1"/>
      <c r="AI895" s="1"/>
      <c r="AJ895" s="1"/>
      <c r="AK895" s="1"/>
    </row>
    <row r="896" ht="30.0" customHeight="1">
      <c r="A896" s="1"/>
      <c r="B896" s="1"/>
      <c r="C896" s="2"/>
      <c r="D896" s="2"/>
      <c r="E896" s="2"/>
      <c r="F896" s="2"/>
      <c r="G896" s="2"/>
      <c r="H896" s="2"/>
      <c r="I896" s="2"/>
      <c r="J896" s="2"/>
      <c r="K896" s="2"/>
      <c r="L896" s="2"/>
      <c r="M896" s="2"/>
      <c r="N896" s="1"/>
      <c r="O896" s="2"/>
      <c r="P896" s="2"/>
      <c r="Q896" s="2"/>
      <c r="R896" s="2"/>
      <c r="S896" s="2"/>
      <c r="T896" s="2"/>
      <c r="U896" s="2"/>
      <c r="V896" s="2"/>
      <c r="W896" s="2"/>
      <c r="X896" s="2"/>
      <c r="Y896" s="2"/>
      <c r="Z896" s="1"/>
      <c r="AA896" s="1"/>
      <c r="AB896" s="1"/>
      <c r="AC896" s="1"/>
      <c r="AD896" s="1"/>
      <c r="AE896" s="1"/>
      <c r="AF896" s="1"/>
      <c r="AG896" s="1"/>
      <c r="AH896" s="1"/>
      <c r="AI896" s="1"/>
      <c r="AJ896" s="1"/>
      <c r="AK896" s="1"/>
    </row>
    <row r="897" ht="30.0" customHeight="1">
      <c r="A897" s="1"/>
      <c r="B897" s="1"/>
      <c r="C897" s="2"/>
      <c r="D897" s="2"/>
      <c r="E897" s="2"/>
      <c r="F897" s="2"/>
      <c r="G897" s="2"/>
      <c r="H897" s="2"/>
      <c r="I897" s="2"/>
      <c r="J897" s="2"/>
      <c r="K897" s="2"/>
      <c r="L897" s="2"/>
      <c r="M897" s="2"/>
      <c r="N897" s="1"/>
      <c r="O897" s="2"/>
      <c r="P897" s="2"/>
      <c r="Q897" s="2"/>
      <c r="R897" s="2"/>
      <c r="S897" s="2"/>
      <c r="T897" s="2"/>
      <c r="U897" s="2"/>
      <c r="V897" s="2"/>
      <c r="W897" s="2"/>
      <c r="X897" s="2"/>
      <c r="Y897" s="2"/>
      <c r="Z897" s="1"/>
      <c r="AA897" s="1"/>
      <c r="AB897" s="1"/>
      <c r="AC897" s="1"/>
      <c r="AD897" s="1"/>
      <c r="AE897" s="1"/>
      <c r="AF897" s="1"/>
      <c r="AG897" s="1"/>
      <c r="AH897" s="1"/>
      <c r="AI897" s="1"/>
      <c r="AJ897" s="1"/>
      <c r="AK897" s="1"/>
    </row>
    <row r="898" ht="30.0" customHeight="1">
      <c r="A898" s="1"/>
      <c r="B898" s="1"/>
      <c r="C898" s="2"/>
      <c r="D898" s="2"/>
      <c r="E898" s="2"/>
      <c r="F898" s="2"/>
      <c r="G898" s="2"/>
      <c r="H898" s="2"/>
      <c r="I898" s="2"/>
      <c r="J898" s="2"/>
      <c r="K898" s="2"/>
      <c r="L898" s="2"/>
      <c r="M898" s="2"/>
      <c r="N898" s="1"/>
      <c r="O898" s="2"/>
      <c r="P898" s="2"/>
      <c r="Q898" s="2"/>
      <c r="R898" s="2"/>
      <c r="S898" s="2"/>
      <c r="T898" s="2"/>
      <c r="U898" s="2"/>
      <c r="V898" s="2"/>
      <c r="W898" s="2"/>
      <c r="X898" s="2"/>
      <c r="Y898" s="2"/>
      <c r="Z898" s="1"/>
      <c r="AA898" s="1"/>
      <c r="AB898" s="1"/>
      <c r="AC898" s="1"/>
      <c r="AD898" s="1"/>
      <c r="AE898" s="1"/>
      <c r="AF898" s="1"/>
      <c r="AG898" s="1"/>
      <c r="AH898" s="1"/>
      <c r="AI898" s="1"/>
      <c r="AJ898" s="1"/>
      <c r="AK898" s="1"/>
    </row>
    <row r="899" ht="30.0" customHeight="1">
      <c r="A899" s="1"/>
      <c r="B899" s="1"/>
      <c r="C899" s="2"/>
      <c r="D899" s="2"/>
      <c r="E899" s="2"/>
      <c r="F899" s="2"/>
      <c r="G899" s="2"/>
      <c r="H899" s="2"/>
      <c r="I899" s="2"/>
      <c r="J899" s="2"/>
      <c r="K899" s="2"/>
      <c r="L899" s="2"/>
      <c r="M899" s="2"/>
      <c r="N899" s="1"/>
      <c r="O899" s="2"/>
      <c r="P899" s="2"/>
      <c r="Q899" s="2"/>
      <c r="R899" s="2"/>
      <c r="S899" s="2"/>
      <c r="T899" s="2"/>
      <c r="U899" s="2"/>
      <c r="V899" s="2"/>
      <c r="W899" s="2"/>
      <c r="X899" s="2"/>
      <c r="Y899" s="2"/>
      <c r="Z899" s="1"/>
      <c r="AA899" s="1"/>
      <c r="AB899" s="1"/>
      <c r="AC899" s="1"/>
      <c r="AD899" s="1"/>
      <c r="AE899" s="1"/>
      <c r="AF899" s="1"/>
      <c r="AG899" s="1"/>
      <c r="AH899" s="1"/>
      <c r="AI899" s="1"/>
      <c r="AJ899" s="1"/>
      <c r="AK899" s="1"/>
    </row>
    <row r="900" ht="30.0" customHeight="1">
      <c r="A900" s="1"/>
      <c r="B900" s="1"/>
      <c r="C900" s="2"/>
      <c r="D900" s="2"/>
      <c r="E900" s="2"/>
      <c r="F900" s="2"/>
      <c r="G900" s="2"/>
      <c r="H900" s="2"/>
      <c r="I900" s="2"/>
      <c r="J900" s="2"/>
      <c r="K900" s="2"/>
      <c r="L900" s="2"/>
      <c r="M900" s="2"/>
      <c r="N900" s="1"/>
      <c r="O900" s="2"/>
      <c r="P900" s="2"/>
      <c r="Q900" s="2"/>
      <c r="R900" s="2"/>
      <c r="S900" s="2"/>
      <c r="T900" s="2"/>
      <c r="U900" s="2"/>
      <c r="V900" s="2"/>
      <c r="W900" s="2"/>
      <c r="X900" s="2"/>
      <c r="Y900" s="2"/>
      <c r="Z900" s="1"/>
      <c r="AA900" s="1"/>
      <c r="AB900" s="1"/>
      <c r="AC900" s="1"/>
      <c r="AD900" s="1"/>
      <c r="AE900" s="1"/>
      <c r="AF900" s="1"/>
      <c r="AG900" s="1"/>
      <c r="AH900" s="1"/>
      <c r="AI900" s="1"/>
      <c r="AJ900" s="1"/>
      <c r="AK900" s="1"/>
    </row>
    <row r="901" ht="30.0" customHeight="1">
      <c r="A901" s="1"/>
      <c r="B901" s="1"/>
      <c r="C901" s="2"/>
      <c r="D901" s="2"/>
      <c r="E901" s="2"/>
      <c r="F901" s="2"/>
      <c r="G901" s="2"/>
      <c r="H901" s="2"/>
      <c r="I901" s="2"/>
      <c r="J901" s="2"/>
      <c r="K901" s="2"/>
      <c r="L901" s="2"/>
      <c r="M901" s="2"/>
      <c r="N901" s="1"/>
      <c r="O901" s="2"/>
      <c r="P901" s="2"/>
      <c r="Q901" s="2"/>
      <c r="R901" s="2"/>
      <c r="S901" s="2"/>
      <c r="T901" s="2"/>
      <c r="U901" s="2"/>
      <c r="V901" s="2"/>
      <c r="W901" s="2"/>
      <c r="X901" s="2"/>
      <c r="Y901" s="2"/>
      <c r="Z901" s="1"/>
      <c r="AA901" s="1"/>
      <c r="AB901" s="1"/>
      <c r="AC901" s="1"/>
      <c r="AD901" s="1"/>
      <c r="AE901" s="1"/>
      <c r="AF901" s="1"/>
      <c r="AG901" s="1"/>
      <c r="AH901" s="1"/>
      <c r="AI901" s="1"/>
      <c r="AJ901" s="1"/>
      <c r="AK901" s="1"/>
    </row>
    <row r="902" ht="30.0" customHeight="1">
      <c r="A902" s="1"/>
      <c r="B902" s="1"/>
      <c r="C902" s="2"/>
      <c r="D902" s="2"/>
      <c r="E902" s="2"/>
      <c r="F902" s="2"/>
      <c r="G902" s="2"/>
      <c r="H902" s="2"/>
      <c r="I902" s="2"/>
      <c r="J902" s="2"/>
      <c r="K902" s="2"/>
      <c r="L902" s="2"/>
      <c r="M902" s="2"/>
      <c r="N902" s="1"/>
      <c r="O902" s="2"/>
      <c r="P902" s="2"/>
      <c r="Q902" s="2"/>
      <c r="R902" s="2"/>
      <c r="S902" s="2"/>
      <c r="T902" s="2"/>
      <c r="U902" s="2"/>
      <c r="V902" s="2"/>
      <c r="W902" s="2"/>
      <c r="X902" s="2"/>
      <c r="Y902" s="2"/>
      <c r="Z902" s="1"/>
      <c r="AA902" s="1"/>
      <c r="AB902" s="1"/>
      <c r="AC902" s="1"/>
      <c r="AD902" s="1"/>
      <c r="AE902" s="1"/>
      <c r="AF902" s="1"/>
      <c r="AG902" s="1"/>
      <c r="AH902" s="1"/>
      <c r="AI902" s="1"/>
      <c r="AJ902" s="1"/>
      <c r="AK902" s="1"/>
    </row>
    <row r="903" ht="30.0" customHeight="1">
      <c r="A903" s="1"/>
      <c r="B903" s="1"/>
      <c r="C903" s="2"/>
      <c r="D903" s="2"/>
      <c r="E903" s="2"/>
      <c r="F903" s="2"/>
      <c r="G903" s="2"/>
      <c r="H903" s="2"/>
      <c r="I903" s="2"/>
      <c r="J903" s="2"/>
      <c r="K903" s="2"/>
      <c r="L903" s="2"/>
      <c r="M903" s="2"/>
      <c r="N903" s="1"/>
      <c r="O903" s="2"/>
      <c r="P903" s="2"/>
      <c r="Q903" s="2"/>
      <c r="R903" s="2"/>
      <c r="S903" s="2"/>
      <c r="T903" s="2"/>
      <c r="U903" s="2"/>
      <c r="V903" s="2"/>
      <c r="W903" s="2"/>
      <c r="X903" s="2"/>
      <c r="Y903" s="2"/>
      <c r="Z903" s="1"/>
      <c r="AA903" s="1"/>
      <c r="AB903" s="1"/>
      <c r="AC903" s="1"/>
      <c r="AD903" s="1"/>
      <c r="AE903" s="1"/>
      <c r="AF903" s="1"/>
      <c r="AG903" s="1"/>
      <c r="AH903" s="1"/>
      <c r="AI903" s="1"/>
      <c r="AJ903" s="1"/>
      <c r="AK903" s="1"/>
    </row>
    <row r="904" ht="30.0" customHeight="1">
      <c r="A904" s="1"/>
      <c r="B904" s="1"/>
      <c r="C904" s="2"/>
      <c r="D904" s="2"/>
      <c r="E904" s="2"/>
      <c r="F904" s="2"/>
      <c r="G904" s="2"/>
      <c r="H904" s="2"/>
      <c r="I904" s="2"/>
      <c r="J904" s="2"/>
      <c r="K904" s="2"/>
      <c r="L904" s="2"/>
      <c r="M904" s="2"/>
      <c r="N904" s="1"/>
      <c r="O904" s="2"/>
      <c r="P904" s="2"/>
      <c r="Q904" s="2"/>
      <c r="R904" s="2"/>
      <c r="S904" s="2"/>
      <c r="T904" s="2"/>
      <c r="U904" s="2"/>
      <c r="V904" s="2"/>
      <c r="W904" s="2"/>
      <c r="X904" s="2"/>
      <c r="Y904" s="2"/>
      <c r="Z904" s="1"/>
      <c r="AA904" s="1"/>
      <c r="AB904" s="1"/>
      <c r="AC904" s="1"/>
      <c r="AD904" s="1"/>
      <c r="AE904" s="1"/>
      <c r="AF904" s="1"/>
      <c r="AG904" s="1"/>
      <c r="AH904" s="1"/>
      <c r="AI904" s="1"/>
      <c r="AJ904" s="1"/>
      <c r="AK904" s="1"/>
    </row>
    <row r="905" ht="30.0" customHeight="1">
      <c r="A905" s="1"/>
      <c r="B905" s="1"/>
      <c r="C905" s="2"/>
      <c r="D905" s="2"/>
      <c r="E905" s="2"/>
      <c r="F905" s="2"/>
      <c r="G905" s="2"/>
      <c r="H905" s="2"/>
      <c r="I905" s="2"/>
      <c r="J905" s="2"/>
      <c r="K905" s="2"/>
      <c r="L905" s="2"/>
      <c r="M905" s="2"/>
      <c r="N905" s="1"/>
      <c r="O905" s="2"/>
      <c r="P905" s="2"/>
      <c r="Q905" s="2"/>
      <c r="R905" s="2"/>
      <c r="S905" s="2"/>
      <c r="T905" s="2"/>
      <c r="U905" s="2"/>
      <c r="V905" s="2"/>
      <c r="W905" s="2"/>
      <c r="X905" s="2"/>
      <c r="Y905" s="2"/>
      <c r="Z905" s="1"/>
      <c r="AA905" s="1"/>
      <c r="AB905" s="1"/>
      <c r="AC905" s="1"/>
      <c r="AD905" s="1"/>
      <c r="AE905" s="1"/>
      <c r="AF905" s="1"/>
      <c r="AG905" s="1"/>
      <c r="AH905" s="1"/>
      <c r="AI905" s="1"/>
      <c r="AJ905" s="1"/>
      <c r="AK905" s="1"/>
    </row>
    <row r="906" ht="30.0" customHeight="1">
      <c r="A906" s="1"/>
      <c r="B906" s="1"/>
      <c r="C906" s="2"/>
      <c r="D906" s="2"/>
      <c r="E906" s="2"/>
      <c r="F906" s="2"/>
      <c r="G906" s="2"/>
      <c r="H906" s="2"/>
      <c r="I906" s="2"/>
      <c r="J906" s="2"/>
      <c r="K906" s="2"/>
      <c r="L906" s="2"/>
      <c r="M906" s="2"/>
      <c r="N906" s="1"/>
      <c r="O906" s="2"/>
      <c r="P906" s="2"/>
      <c r="Q906" s="2"/>
      <c r="R906" s="2"/>
      <c r="S906" s="2"/>
      <c r="T906" s="2"/>
      <c r="U906" s="2"/>
      <c r="V906" s="2"/>
      <c r="W906" s="2"/>
      <c r="X906" s="2"/>
      <c r="Y906" s="2"/>
      <c r="Z906" s="1"/>
      <c r="AA906" s="1"/>
      <c r="AB906" s="1"/>
      <c r="AC906" s="1"/>
      <c r="AD906" s="1"/>
      <c r="AE906" s="1"/>
      <c r="AF906" s="1"/>
      <c r="AG906" s="1"/>
      <c r="AH906" s="1"/>
      <c r="AI906" s="1"/>
      <c r="AJ906" s="1"/>
      <c r="AK906" s="1"/>
    </row>
    <row r="907" ht="30.0" customHeight="1">
      <c r="A907" s="1"/>
      <c r="B907" s="1"/>
      <c r="C907" s="2"/>
      <c r="D907" s="2"/>
      <c r="E907" s="2"/>
      <c r="F907" s="2"/>
      <c r="G907" s="2"/>
      <c r="H907" s="2"/>
      <c r="I907" s="2"/>
      <c r="J907" s="2"/>
      <c r="K907" s="2"/>
      <c r="L907" s="2"/>
      <c r="M907" s="2"/>
      <c r="N907" s="1"/>
      <c r="O907" s="2"/>
      <c r="P907" s="2"/>
      <c r="Q907" s="2"/>
      <c r="R907" s="2"/>
      <c r="S907" s="2"/>
      <c r="T907" s="2"/>
      <c r="U907" s="2"/>
      <c r="V907" s="2"/>
      <c r="W907" s="2"/>
      <c r="X907" s="2"/>
      <c r="Y907" s="2"/>
      <c r="Z907" s="1"/>
      <c r="AA907" s="1"/>
      <c r="AB907" s="1"/>
      <c r="AC907" s="1"/>
      <c r="AD907" s="1"/>
      <c r="AE907" s="1"/>
      <c r="AF907" s="1"/>
      <c r="AG907" s="1"/>
      <c r="AH907" s="1"/>
      <c r="AI907" s="1"/>
      <c r="AJ907" s="1"/>
      <c r="AK907" s="1"/>
    </row>
    <row r="908" ht="30.0" customHeight="1">
      <c r="A908" s="1"/>
      <c r="B908" s="1"/>
      <c r="C908" s="2"/>
      <c r="D908" s="2"/>
      <c r="E908" s="2"/>
      <c r="F908" s="2"/>
      <c r="G908" s="2"/>
      <c r="H908" s="2"/>
      <c r="I908" s="2"/>
      <c r="J908" s="2"/>
      <c r="K908" s="2"/>
      <c r="L908" s="2"/>
      <c r="M908" s="2"/>
      <c r="N908" s="1"/>
      <c r="O908" s="2"/>
      <c r="P908" s="2"/>
      <c r="Q908" s="2"/>
      <c r="R908" s="2"/>
      <c r="S908" s="2"/>
      <c r="T908" s="2"/>
      <c r="U908" s="2"/>
      <c r="V908" s="2"/>
      <c r="W908" s="2"/>
      <c r="X908" s="2"/>
      <c r="Y908" s="2"/>
      <c r="Z908" s="1"/>
      <c r="AA908" s="1"/>
      <c r="AB908" s="1"/>
      <c r="AC908" s="1"/>
      <c r="AD908" s="1"/>
      <c r="AE908" s="1"/>
      <c r="AF908" s="1"/>
      <c r="AG908" s="1"/>
      <c r="AH908" s="1"/>
      <c r="AI908" s="1"/>
      <c r="AJ908" s="1"/>
      <c r="AK908" s="1"/>
    </row>
    <row r="909" ht="30.0" customHeight="1">
      <c r="A909" s="1"/>
      <c r="B909" s="1"/>
      <c r="C909" s="2"/>
      <c r="D909" s="2"/>
      <c r="E909" s="2"/>
      <c r="F909" s="2"/>
      <c r="G909" s="2"/>
      <c r="H909" s="2"/>
      <c r="I909" s="2"/>
      <c r="J909" s="2"/>
      <c r="K909" s="2"/>
      <c r="L909" s="2"/>
      <c r="M909" s="2"/>
      <c r="N909" s="1"/>
      <c r="O909" s="2"/>
      <c r="P909" s="2"/>
      <c r="Q909" s="2"/>
      <c r="R909" s="2"/>
      <c r="S909" s="2"/>
      <c r="T909" s="2"/>
      <c r="U909" s="2"/>
      <c r="V909" s="2"/>
      <c r="W909" s="2"/>
      <c r="X909" s="2"/>
      <c r="Y909" s="2"/>
      <c r="Z909" s="1"/>
      <c r="AA909" s="1"/>
      <c r="AB909" s="1"/>
      <c r="AC909" s="1"/>
      <c r="AD909" s="1"/>
      <c r="AE909" s="1"/>
      <c r="AF909" s="1"/>
      <c r="AG909" s="1"/>
      <c r="AH909" s="1"/>
      <c r="AI909" s="1"/>
      <c r="AJ909" s="1"/>
      <c r="AK909" s="1"/>
    </row>
    <row r="910" ht="30.0" customHeight="1">
      <c r="A910" s="1"/>
      <c r="B910" s="1"/>
      <c r="C910" s="2"/>
      <c r="D910" s="2"/>
      <c r="E910" s="2"/>
      <c r="F910" s="2"/>
      <c r="G910" s="2"/>
      <c r="H910" s="2"/>
      <c r="I910" s="2"/>
      <c r="J910" s="2"/>
      <c r="K910" s="2"/>
      <c r="L910" s="2"/>
      <c r="M910" s="2"/>
      <c r="N910" s="1"/>
      <c r="O910" s="2"/>
      <c r="P910" s="2"/>
      <c r="Q910" s="2"/>
      <c r="R910" s="2"/>
      <c r="S910" s="2"/>
      <c r="T910" s="2"/>
      <c r="U910" s="2"/>
      <c r="V910" s="2"/>
      <c r="W910" s="2"/>
      <c r="X910" s="2"/>
      <c r="Y910" s="2"/>
      <c r="Z910" s="1"/>
      <c r="AA910" s="1"/>
      <c r="AB910" s="1"/>
      <c r="AC910" s="1"/>
      <c r="AD910" s="1"/>
      <c r="AE910" s="1"/>
      <c r="AF910" s="1"/>
      <c r="AG910" s="1"/>
      <c r="AH910" s="1"/>
      <c r="AI910" s="1"/>
      <c r="AJ910" s="1"/>
      <c r="AK910" s="1"/>
    </row>
    <row r="911" ht="30.0" customHeight="1">
      <c r="A911" s="1"/>
      <c r="B911" s="1"/>
      <c r="C911" s="2"/>
      <c r="D911" s="2"/>
      <c r="E911" s="2"/>
      <c r="F911" s="2"/>
      <c r="G911" s="2"/>
      <c r="H911" s="2"/>
      <c r="I911" s="2"/>
      <c r="J911" s="2"/>
      <c r="K911" s="2"/>
      <c r="L911" s="2"/>
      <c r="M911" s="2"/>
      <c r="N911" s="1"/>
      <c r="O911" s="2"/>
      <c r="P911" s="2"/>
      <c r="Q911" s="2"/>
      <c r="R911" s="2"/>
      <c r="S911" s="2"/>
      <c r="T911" s="2"/>
      <c r="U911" s="2"/>
      <c r="V911" s="2"/>
      <c r="W911" s="2"/>
      <c r="X911" s="2"/>
      <c r="Y911" s="2"/>
      <c r="Z911" s="1"/>
      <c r="AA911" s="1"/>
      <c r="AB911" s="1"/>
      <c r="AC911" s="1"/>
      <c r="AD911" s="1"/>
      <c r="AE911" s="1"/>
      <c r="AF911" s="1"/>
      <c r="AG911" s="1"/>
      <c r="AH911" s="1"/>
      <c r="AI911" s="1"/>
      <c r="AJ911" s="1"/>
      <c r="AK911" s="1"/>
    </row>
    <row r="912" ht="30.0" customHeight="1">
      <c r="A912" s="1"/>
      <c r="B912" s="1"/>
      <c r="C912" s="2"/>
      <c r="D912" s="2"/>
      <c r="E912" s="2"/>
      <c r="F912" s="2"/>
      <c r="G912" s="2"/>
      <c r="H912" s="2"/>
      <c r="I912" s="2"/>
      <c r="J912" s="2"/>
      <c r="K912" s="2"/>
      <c r="L912" s="2"/>
      <c r="M912" s="2"/>
      <c r="N912" s="1"/>
      <c r="O912" s="2"/>
      <c r="P912" s="2"/>
      <c r="Q912" s="2"/>
      <c r="R912" s="2"/>
      <c r="S912" s="2"/>
      <c r="T912" s="2"/>
      <c r="U912" s="2"/>
      <c r="V912" s="2"/>
      <c r="W912" s="2"/>
      <c r="X912" s="2"/>
      <c r="Y912" s="2"/>
      <c r="Z912" s="1"/>
      <c r="AA912" s="1"/>
      <c r="AB912" s="1"/>
      <c r="AC912" s="1"/>
      <c r="AD912" s="1"/>
      <c r="AE912" s="1"/>
      <c r="AF912" s="1"/>
      <c r="AG912" s="1"/>
      <c r="AH912" s="1"/>
      <c r="AI912" s="1"/>
      <c r="AJ912" s="1"/>
      <c r="AK912" s="1"/>
    </row>
    <row r="913" ht="30.0" customHeight="1">
      <c r="A913" s="1"/>
      <c r="B913" s="1"/>
      <c r="C913" s="2"/>
      <c r="D913" s="2"/>
      <c r="E913" s="2"/>
      <c r="F913" s="2"/>
      <c r="G913" s="2"/>
      <c r="H913" s="2"/>
      <c r="I913" s="2"/>
      <c r="J913" s="2"/>
      <c r="K913" s="2"/>
      <c r="L913" s="2"/>
      <c r="M913" s="2"/>
      <c r="N913" s="1"/>
      <c r="O913" s="2"/>
      <c r="P913" s="2"/>
      <c r="Q913" s="2"/>
      <c r="R913" s="2"/>
      <c r="S913" s="2"/>
      <c r="T913" s="2"/>
      <c r="U913" s="2"/>
      <c r="V913" s="2"/>
      <c r="W913" s="2"/>
      <c r="X913" s="2"/>
      <c r="Y913" s="2"/>
      <c r="Z913" s="1"/>
      <c r="AA913" s="1"/>
      <c r="AB913" s="1"/>
      <c r="AC913" s="1"/>
      <c r="AD913" s="1"/>
      <c r="AE913" s="1"/>
      <c r="AF913" s="1"/>
      <c r="AG913" s="1"/>
      <c r="AH913" s="1"/>
      <c r="AI913" s="1"/>
      <c r="AJ913" s="1"/>
      <c r="AK913" s="1"/>
    </row>
    <row r="914" ht="30.0" customHeight="1">
      <c r="A914" s="1"/>
      <c r="B914" s="1"/>
      <c r="C914" s="2"/>
      <c r="D914" s="2"/>
      <c r="E914" s="2"/>
      <c r="F914" s="2"/>
      <c r="G914" s="2"/>
      <c r="H914" s="2"/>
      <c r="I914" s="2"/>
      <c r="J914" s="2"/>
      <c r="K914" s="2"/>
      <c r="L914" s="2"/>
      <c r="M914" s="2"/>
      <c r="N914" s="1"/>
      <c r="O914" s="2"/>
      <c r="P914" s="2"/>
      <c r="Q914" s="2"/>
      <c r="R914" s="2"/>
      <c r="S914" s="2"/>
      <c r="T914" s="2"/>
      <c r="U914" s="2"/>
      <c r="V914" s="2"/>
      <c r="W914" s="2"/>
      <c r="X914" s="2"/>
      <c r="Y914" s="2"/>
      <c r="Z914" s="1"/>
      <c r="AA914" s="1"/>
      <c r="AB914" s="1"/>
      <c r="AC914" s="1"/>
      <c r="AD914" s="1"/>
      <c r="AE914" s="1"/>
      <c r="AF914" s="1"/>
      <c r="AG914" s="1"/>
      <c r="AH914" s="1"/>
      <c r="AI914" s="1"/>
      <c r="AJ914" s="1"/>
      <c r="AK914" s="1"/>
    </row>
    <row r="915" ht="30.0" customHeight="1">
      <c r="A915" s="1"/>
      <c r="B915" s="1"/>
      <c r="C915" s="2"/>
      <c r="D915" s="2"/>
      <c r="E915" s="2"/>
      <c r="F915" s="2"/>
      <c r="G915" s="2"/>
      <c r="H915" s="2"/>
      <c r="I915" s="2"/>
      <c r="J915" s="2"/>
      <c r="K915" s="2"/>
      <c r="L915" s="2"/>
      <c r="M915" s="2"/>
      <c r="N915" s="1"/>
      <c r="O915" s="2"/>
      <c r="P915" s="2"/>
      <c r="Q915" s="2"/>
      <c r="R915" s="2"/>
      <c r="S915" s="2"/>
      <c r="T915" s="2"/>
      <c r="U915" s="2"/>
      <c r="V915" s="2"/>
      <c r="W915" s="2"/>
      <c r="X915" s="2"/>
      <c r="Y915" s="2"/>
      <c r="Z915" s="1"/>
      <c r="AA915" s="1"/>
      <c r="AB915" s="1"/>
      <c r="AC915" s="1"/>
      <c r="AD915" s="1"/>
      <c r="AE915" s="1"/>
      <c r="AF915" s="1"/>
      <c r="AG915" s="1"/>
      <c r="AH915" s="1"/>
      <c r="AI915" s="1"/>
      <c r="AJ915" s="1"/>
      <c r="AK915" s="1"/>
    </row>
    <row r="916" ht="30.0" customHeight="1">
      <c r="A916" s="1"/>
      <c r="B916" s="1"/>
      <c r="C916" s="2"/>
      <c r="D916" s="2"/>
      <c r="E916" s="2"/>
      <c r="F916" s="2"/>
      <c r="G916" s="2"/>
      <c r="H916" s="2"/>
      <c r="I916" s="2"/>
      <c r="J916" s="2"/>
      <c r="K916" s="2"/>
      <c r="L916" s="2"/>
      <c r="M916" s="2"/>
      <c r="N916" s="1"/>
      <c r="O916" s="2"/>
      <c r="P916" s="2"/>
      <c r="Q916" s="2"/>
      <c r="R916" s="2"/>
      <c r="S916" s="2"/>
      <c r="T916" s="2"/>
      <c r="U916" s="2"/>
      <c r="V916" s="2"/>
      <c r="W916" s="2"/>
      <c r="X916" s="2"/>
      <c r="Y916" s="2"/>
      <c r="Z916" s="1"/>
      <c r="AA916" s="1"/>
      <c r="AB916" s="1"/>
      <c r="AC916" s="1"/>
      <c r="AD916" s="1"/>
      <c r="AE916" s="1"/>
      <c r="AF916" s="1"/>
      <c r="AG916" s="1"/>
      <c r="AH916" s="1"/>
      <c r="AI916" s="1"/>
      <c r="AJ916" s="1"/>
      <c r="AK916" s="1"/>
    </row>
    <row r="917" ht="30.0" customHeight="1">
      <c r="A917" s="1"/>
      <c r="B917" s="1"/>
      <c r="C917" s="2"/>
      <c r="D917" s="2"/>
      <c r="E917" s="2"/>
      <c r="F917" s="2"/>
      <c r="G917" s="2"/>
      <c r="H917" s="2"/>
      <c r="I917" s="2"/>
      <c r="J917" s="2"/>
      <c r="K917" s="2"/>
      <c r="L917" s="2"/>
      <c r="M917" s="2"/>
      <c r="N917" s="1"/>
      <c r="O917" s="2"/>
      <c r="P917" s="2"/>
      <c r="Q917" s="2"/>
      <c r="R917" s="2"/>
      <c r="S917" s="2"/>
      <c r="T917" s="2"/>
      <c r="U917" s="2"/>
      <c r="V917" s="2"/>
      <c r="W917" s="2"/>
      <c r="X917" s="2"/>
      <c r="Y917" s="2"/>
      <c r="Z917" s="1"/>
      <c r="AA917" s="1"/>
      <c r="AB917" s="1"/>
      <c r="AC917" s="1"/>
      <c r="AD917" s="1"/>
      <c r="AE917" s="1"/>
      <c r="AF917" s="1"/>
      <c r="AG917" s="1"/>
      <c r="AH917" s="1"/>
      <c r="AI917" s="1"/>
      <c r="AJ917" s="1"/>
      <c r="AK917" s="1"/>
    </row>
    <row r="918" ht="30.0" customHeight="1">
      <c r="A918" s="1"/>
      <c r="B918" s="1"/>
      <c r="C918" s="2"/>
      <c r="D918" s="2"/>
      <c r="E918" s="2"/>
      <c r="F918" s="2"/>
      <c r="G918" s="2"/>
      <c r="H918" s="2"/>
      <c r="I918" s="2"/>
      <c r="J918" s="2"/>
      <c r="K918" s="2"/>
      <c r="L918" s="2"/>
      <c r="M918" s="2"/>
      <c r="N918" s="1"/>
      <c r="O918" s="2"/>
      <c r="P918" s="2"/>
      <c r="Q918" s="2"/>
      <c r="R918" s="2"/>
      <c r="S918" s="2"/>
      <c r="T918" s="2"/>
      <c r="U918" s="2"/>
      <c r="V918" s="2"/>
      <c r="W918" s="2"/>
      <c r="X918" s="2"/>
      <c r="Y918" s="2"/>
      <c r="Z918" s="1"/>
      <c r="AA918" s="1"/>
      <c r="AB918" s="1"/>
      <c r="AC918" s="1"/>
      <c r="AD918" s="1"/>
      <c r="AE918" s="1"/>
      <c r="AF918" s="1"/>
      <c r="AG918" s="1"/>
      <c r="AH918" s="1"/>
      <c r="AI918" s="1"/>
      <c r="AJ918" s="1"/>
      <c r="AK918" s="1"/>
    </row>
    <row r="919" ht="30.0" customHeight="1">
      <c r="A919" s="1"/>
      <c r="B919" s="1"/>
      <c r="C919" s="2"/>
      <c r="D919" s="2"/>
      <c r="E919" s="2"/>
      <c r="F919" s="2"/>
      <c r="G919" s="2"/>
      <c r="H919" s="2"/>
      <c r="I919" s="2"/>
      <c r="J919" s="2"/>
      <c r="K919" s="2"/>
      <c r="L919" s="2"/>
      <c r="M919" s="2"/>
      <c r="N919" s="1"/>
      <c r="O919" s="2"/>
      <c r="P919" s="2"/>
      <c r="Q919" s="2"/>
      <c r="R919" s="2"/>
      <c r="S919" s="2"/>
      <c r="T919" s="2"/>
      <c r="U919" s="2"/>
      <c r="V919" s="2"/>
      <c r="W919" s="2"/>
      <c r="X919" s="2"/>
      <c r="Y919" s="2"/>
      <c r="Z919" s="1"/>
      <c r="AA919" s="1"/>
      <c r="AB919" s="1"/>
      <c r="AC919" s="1"/>
      <c r="AD919" s="1"/>
      <c r="AE919" s="1"/>
      <c r="AF919" s="1"/>
      <c r="AG919" s="1"/>
      <c r="AH919" s="1"/>
      <c r="AI919" s="1"/>
      <c r="AJ919" s="1"/>
      <c r="AK919" s="1"/>
    </row>
    <row r="920" ht="30.0" customHeight="1">
      <c r="A920" s="1"/>
      <c r="B920" s="1"/>
      <c r="C920" s="2"/>
      <c r="D920" s="2"/>
      <c r="E920" s="2"/>
      <c r="F920" s="2"/>
      <c r="G920" s="2"/>
      <c r="H920" s="2"/>
      <c r="I920" s="2"/>
      <c r="J920" s="2"/>
      <c r="K920" s="2"/>
      <c r="L920" s="2"/>
      <c r="M920" s="2"/>
      <c r="N920" s="1"/>
      <c r="O920" s="2"/>
      <c r="P920" s="2"/>
      <c r="Q920" s="2"/>
      <c r="R920" s="2"/>
      <c r="S920" s="2"/>
      <c r="T920" s="2"/>
      <c r="U920" s="2"/>
      <c r="V920" s="2"/>
      <c r="W920" s="2"/>
      <c r="X920" s="2"/>
      <c r="Y920" s="2"/>
      <c r="Z920" s="1"/>
      <c r="AA920" s="1"/>
      <c r="AB920" s="1"/>
      <c r="AC920" s="1"/>
      <c r="AD920" s="1"/>
      <c r="AE920" s="1"/>
      <c r="AF920" s="1"/>
      <c r="AG920" s="1"/>
      <c r="AH920" s="1"/>
      <c r="AI920" s="1"/>
      <c r="AJ920" s="1"/>
      <c r="AK920" s="1"/>
    </row>
    <row r="921" ht="30.0" customHeight="1">
      <c r="A921" s="1"/>
      <c r="B921" s="1"/>
      <c r="C921" s="2"/>
      <c r="D921" s="2"/>
      <c r="E921" s="2"/>
      <c r="F921" s="2"/>
      <c r="G921" s="2"/>
      <c r="H921" s="2"/>
      <c r="I921" s="2"/>
      <c r="J921" s="2"/>
      <c r="K921" s="2"/>
      <c r="L921" s="2"/>
      <c r="M921" s="2"/>
      <c r="N921" s="1"/>
      <c r="O921" s="2"/>
      <c r="P921" s="2"/>
      <c r="Q921" s="2"/>
      <c r="R921" s="2"/>
      <c r="S921" s="2"/>
      <c r="T921" s="2"/>
      <c r="U921" s="2"/>
      <c r="V921" s="2"/>
      <c r="W921" s="2"/>
      <c r="X921" s="2"/>
      <c r="Y921" s="2"/>
      <c r="Z921" s="1"/>
      <c r="AA921" s="1"/>
      <c r="AB921" s="1"/>
      <c r="AC921" s="1"/>
      <c r="AD921" s="1"/>
      <c r="AE921" s="1"/>
      <c r="AF921" s="1"/>
      <c r="AG921" s="1"/>
      <c r="AH921" s="1"/>
      <c r="AI921" s="1"/>
      <c r="AJ921" s="1"/>
      <c r="AK921" s="1"/>
    </row>
    <row r="922" ht="30.0" customHeight="1">
      <c r="A922" s="1"/>
      <c r="B922" s="1"/>
      <c r="C922" s="2"/>
      <c r="D922" s="2"/>
      <c r="E922" s="2"/>
      <c r="F922" s="2"/>
      <c r="G922" s="2"/>
      <c r="H922" s="2"/>
      <c r="I922" s="2"/>
      <c r="J922" s="2"/>
      <c r="K922" s="2"/>
      <c r="L922" s="2"/>
      <c r="M922" s="2"/>
      <c r="N922" s="1"/>
      <c r="O922" s="2"/>
      <c r="P922" s="2"/>
      <c r="Q922" s="2"/>
      <c r="R922" s="2"/>
      <c r="S922" s="2"/>
      <c r="T922" s="2"/>
      <c r="U922" s="2"/>
      <c r="V922" s="2"/>
      <c r="W922" s="2"/>
      <c r="X922" s="2"/>
      <c r="Y922" s="2"/>
      <c r="Z922" s="1"/>
      <c r="AA922" s="1"/>
      <c r="AB922" s="1"/>
      <c r="AC922" s="1"/>
      <c r="AD922" s="1"/>
      <c r="AE922" s="1"/>
      <c r="AF922" s="1"/>
      <c r="AG922" s="1"/>
      <c r="AH922" s="1"/>
      <c r="AI922" s="1"/>
      <c r="AJ922" s="1"/>
      <c r="AK922" s="1"/>
    </row>
    <row r="923" ht="30.0" customHeight="1">
      <c r="A923" s="1"/>
      <c r="B923" s="1"/>
      <c r="C923" s="2"/>
      <c r="D923" s="2"/>
      <c r="E923" s="2"/>
      <c r="F923" s="2"/>
      <c r="G923" s="2"/>
      <c r="H923" s="2"/>
      <c r="I923" s="2"/>
      <c r="J923" s="2"/>
      <c r="K923" s="2"/>
      <c r="L923" s="2"/>
      <c r="M923" s="2"/>
      <c r="N923" s="1"/>
      <c r="O923" s="2"/>
      <c r="P923" s="2"/>
      <c r="Q923" s="2"/>
      <c r="R923" s="2"/>
      <c r="S923" s="2"/>
      <c r="T923" s="2"/>
      <c r="U923" s="2"/>
      <c r="V923" s="2"/>
      <c r="W923" s="2"/>
      <c r="X923" s="2"/>
      <c r="Y923" s="2"/>
      <c r="Z923" s="1"/>
      <c r="AA923" s="1"/>
      <c r="AB923" s="1"/>
      <c r="AC923" s="1"/>
      <c r="AD923" s="1"/>
      <c r="AE923" s="1"/>
      <c r="AF923" s="1"/>
      <c r="AG923" s="1"/>
      <c r="AH923" s="1"/>
      <c r="AI923" s="1"/>
      <c r="AJ923" s="1"/>
      <c r="AK923" s="1"/>
    </row>
    <row r="924" ht="30.0" customHeight="1">
      <c r="A924" s="1"/>
      <c r="B924" s="1"/>
      <c r="C924" s="2"/>
      <c r="D924" s="2"/>
      <c r="E924" s="2"/>
      <c r="F924" s="2"/>
      <c r="G924" s="2"/>
      <c r="H924" s="2"/>
      <c r="I924" s="2"/>
      <c r="J924" s="2"/>
      <c r="K924" s="2"/>
      <c r="L924" s="2"/>
      <c r="M924" s="2"/>
      <c r="N924" s="1"/>
      <c r="O924" s="2"/>
      <c r="P924" s="2"/>
      <c r="Q924" s="2"/>
      <c r="R924" s="2"/>
      <c r="S924" s="2"/>
      <c r="T924" s="2"/>
      <c r="U924" s="2"/>
      <c r="V924" s="2"/>
      <c r="W924" s="2"/>
      <c r="X924" s="2"/>
      <c r="Y924" s="2"/>
      <c r="Z924" s="1"/>
      <c r="AA924" s="1"/>
      <c r="AB924" s="1"/>
      <c r="AC924" s="1"/>
      <c r="AD924" s="1"/>
      <c r="AE924" s="1"/>
      <c r="AF924" s="1"/>
      <c r="AG924" s="1"/>
      <c r="AH924" s="1"/>
      <c r="AI924" s="1"/>
      <c r="AJ924" s="1"/>
      <c r="AK924" s="1"/>
    </row>
    <row r="925" ht="30.0" customHeight="1">
      <c r="A925" s="1"/>
      <c r="B925" s="1"/>
      <c r="C925" s="2"/>
      <c r="D925" s="2"/>
      <c r="E925" s="2"/>
      <c r="F925" s="2"/>
      <c r="G925" s="2"/>
      <c r="H925" s="2"/>
      <c r="I925" s="2"/>
      <c r="J925" s="2"/>
      <c r="K925" s="2"/>
      <c r="L925" s="2"/>
      <c r="M925" s="2"/>
      <c r="N925" s="1"/>
      <c r="O925" s="2"/>
      <c r="P925" s="2"/>
      <c r="Q925" s="2"/>
      <c r="R925" s="2"/>
      <c r="S925" s="2"/>
      <c r="T925" s="2"/>
      <c r="U925" s="2"/>
      <c r="V925" s="2"/>
      <c r="W925" s="2"/>
      <c r="X925" s="2"/>
      <c r="Y925" s="2"/>
      <c r="Z925" s="1"/>
      <c r="AA925" s="1"/>
      <c r="AB925" s="1"/>
      <c r="AC925" s="1"/>
      <c r="AD925" s="1"/>
      <c r="AE925" s="1"/>
      <c r="AF925" s="1"/>
      <c r="AG925" s="1"/>
      <c r="AH925" s="1"/>
      <c r="AI925" s="1"/>
      <c r="AJ925" s="1"/>
      <c r="AK925" s="1"/>
    </row>
    <row r="926" ht="30.0" customHeight="1">
      <c r="A926" s="1"/>
      <c r="B926" s="1"/>
      <c r="C926" s="2"/>
      <c r="D926" s="2"/>
      <c r="E926" s="2"/>
      <c r="F926" s="2"/>
      <c r="G926" s="2"/>
      <c r="H926" s="2"/>
      <c r="I926" s="2"/>
      <c r="J926" s="2"/>
      <c r="K926" s="2"/>
      <c r="L926" s="2"/>
      <c r="M926" s="2"/>
      <c r="N926" s="1"/>
      <c r="O926" s="2"/>
      <c r="P926" s="2"/>
      <c r="Q926" s="2"/>
      <c r="R926" s="2"/>
      <c r="S926" s="2"/>
      <c r="T926" s="2"/>
      <c r="U926" s="2"/>
      <c r="V926" s="2"/>
      <c r="W926" s="2"/>
      <c r="X926" s="2"/>
      <c r="Y926" s="2"/>
      <c r="Z926" s="1"/>
      <c r="AA926" s="1"/>
      <c r="AB926" s="1"/>
      <c r="AC926" s="1"/>
      <c r="AD926" s="1"/>
      <c r="AE926" s="1"/>
      <c r="AF926" s="1"/>
      <c r="AG926" s="1"/>
      <c r="AH926" s="1"/>
      <c r="AI926" s="1"/>
      <c r="AJ926" s="1"/>
      <c r="AK926" s="1"/>
    </row>
    <row r="927" ht="30.0" customHeight="1">
      <c r="A927" s="1"/>
      <c r="B927" s="1"/>
      <c r="C927" s="2"/>
      <c r="D927" s="2"/>
      <c r="E927" s="2"/>
      <c r="F927" s="2"/>
      <c r="G927" s="2"/>
      <c r="H927" s="2"/>
      <c r="I927" s="2"/>
      <c r="J927" s="2"/>
      <c r="K927" s="2"/>
      <c r="L927" s="2"/>
      <c r="M927" s="2"/>
      <c r="N927" s="1"/>
      <c r="O927" s="2"/>
      <c r="P927" s="2"/>
      <c r="Q927" s="2"/>
      <c r="R927" s="2"/>
      <c r="S927" s="2"/>
      <c r="T927" s="2"/>
      <c r="U927" s="2"/>
      <c r="V927" s="2"/>
      <c r="W927" s="2"/>
      <c r="X927" s="2"/>
      <c r="Y927" s="2"/>
      <c r="Z927" s="1"/>
      <c r="AA927" s="1"/>
      <c r="AB927" s="1"/>
      <c r="AC927" s="1"/>
      <c r="AD927" s="1"/>
      <c r="AE927" s="1"/>
      <c r="AF927" s="1"/>
      <c r="AG927" s="1"/>
      <c r="AH927" s="1"/>
      <c r="AI927" s="1"/>
      <c r="AJ927" s="1"/>
      <c r="AK927" s="1"/>
    </row>
    <row r="928" ht="30.0" customHeight="1">
      <c r="A928" s="1"/>
      <c r="B928" s="1"/>
      <c r="C928" s="2"/>
      <c r="D928" s="2"/>
      <c r="E928" s="2"/>
      <c r="F928" s="2"/>
      <c r="G928" s="2"/>
      <c r="H928" s="2"/>
      <c r="I928" s="2"/>
      <c r="J928" s="2"/>
      <c r="K928" s="2"/>
      <c r="L928" s="2"/>
      <c r="M928" s="2"/>
      <c r="N928" s="1"/>
      <c r="O928" s="2"/>
      <c r="P928" s="2"/>
      <c r="Q928" s="2"/>
      <c r="R928" s="2"/>
      <c r="S928" s="2"/>
      <c r="T928" s="2"/>
      <c r="U928" s="2"/>
      <c r="V928" s="2"/>
      <c r="W928" s="2"/>
      <c r="X928" s="2"/>
      <c r="Y928" s="2"/>
      <c r="Z928" s="1"/>
      <c r="AA928" s="1"/>
      <c r="AB928" s="1"/>
      <c r="AC928" s="1"/>
      <c r="AD928" s="1"/>
      <c r="AE928" s="1"/>
      <c r="AF928" s="1"/>
      <c r="AG928" s="1"/>
      <c r="AH928" s="1"/>
      <c r="AI928" s="1"/>
      <c r="AJ928" s="1"/>
      <c r="AK928" s="1"/>
    </row>
    <row r="929" ht="30.0" customHeight="1">
      <c r="A929" s="1"/>
      <c r="B929" s="1"/>
      <c r="C929" s="2"/>
      <c r="D929" s="2"/>
      <c r="E929" s="2"/>
      <c r="F929" s="2"/>
      <c r="G929" s="2"/>
      <c r="H929" s="2"/>
      <c r="I929" s="2"/>
      <c r="J929" s="2"/>
      <c r="K929" s="2"/>
      <c r="L929" s="2"/>
      <c r="M929" s="2"/>
      <c r="N929" s="1"/>
      <c r="O929" s="2"/>
      <c r="P929" s="2"/>
      <c r="Q929" s="2"/>
      <c r="R929" s="2"/>
      <c r="S929" s="2"/>
      <c r="T929" s="2"/>
      <c r="U929" s="2"/>
      <c r="V929" s="2"/>
      <c r="W929" s="2"/>
      <c r="X929" s="2"/>
      <c r="Y929" s="2"/>
      <c r="Z929" s="1"/>
      <c r="AA929" s="1"/>
      <c r="AB929" s="1"/>
      <c r="AC929" s="1"/>
      <c r="AD929" s="1"/>
      <c r="AE929" s="1"/>
      <c r="AF929" s="1"/>
      <c r="AG929" s="1"/>
      <c r="AH929" s="1"/>
      <c r="AI929" s="1"/>
      <c r="AJ929" s="1"/>
      <c r="AK929" s="1"/>
    </row>
    <row r="930" ht="30.0" customHeight="1">
      <c r="A930" s="1"/>
      <c r="B930" s="1"/>
      <c r="C930" s="2"/>
      <c r="D930" s="2"/>
      <c r="E930" s="2"/>
      <c r="F930" s="2"/>
      <c r="G930" s="2"/>
      <c r="H930" s="2"/>
      <c r="I930" s="2"/>
      <c r="J930" s="2"/>
      <c r="K930" s="2"/>
      <c r="L930" s="2"/>
      <c r="M930" s="2"/>
      <c r="N930" s="1"/>
      <c r="O930" s="2"/>
      <c r="P930" s="2"/>
      <c r="Q930" s="2"/>
      <c r="R930" s="2"/>
      <c r="S930" s="2"/>
      <c r="T930" s="2"/>
      <c r="U930" s="2"/>
      <c r="V930" s="2"/>
      <c r="W930" s="2"/>
      <c r="X930" s="2"/>
      <c r="Y930" s="2"/>
      <c r="Z930" s="1"/>
      <c r="AA930" s="1"/>
      <c r="AB930" s="1"/>
      <c r="AC930" s="1"/>
      <c r="AD930" s="1"/>
      <c r="AE930" s="1"/>
      <c r="AF930" s="1"/>
      <c r="AG930" s="1"/>
      <c r="AH930" s="1"/>
      <c r="AI930" s="1"/>
      <c r="AJ930" s="1"/>
      <c r="AK930" s="1"/>
    </row>
    <row r="931" ht="30.0" customHeight="1">
      <c r="A931" s="1"/>
      <c r="B931" s="1"/>
      <c r="C931" s="2"/>
      <c r="D931" s="2"/>
      <c r="E931" s="2"/>
      <c r="F931" s="2"/>
      <c r="G931" s="2"/>
      <c r="H931" s="2"/>
      <c r="I931" s="2"/>
      <c r="J931" s="2"/>
      <c r="K931" s="2"/>
      <c r="L931" s="2"/>
      <c r="M931" s="2"/>
      <c r="N931" s="1"/>
      <c r="O931" s="2"/>
      <c r="P931" s="2"/>
      <c r="Q931" s="2"/>
      <c r="R931" s="2"/>
      <c r="S931" s="2"/>
      <c r="T931" s="2"/>
      <c r="U931" s="2"/>
      <c r="V931" s="2"/>
      <c r="W931" s="2"/>
      <c r="X931" s="2"/>
      <c r="Y931" s="2"/>
      <c r="Z931" s="1"/>
      <c r="AA931" s="1"/>
      <c r="AB931" s="1"/>
      <c r="AC931" s="1"/>
      <c r="AD931" s="1"/>
      <c r="AE931" s="1"/>
      <c r="AF931" s="1"/>
      <c r="AG931" s="1"/>
      <c r="AH931" s="1"/>
      <c r="AI931" s="1"/>
      <c r="AJ931" s="1"/>
      <c r="AK931" s="1"/>
    </row>
    <row r="932" ht="30.0" customHeight="1">
      <c r="A932" s="1"/>
      <c r="B932" s="1"/>
      <c r="C932" s="2"/>
      <c r="D932" s="2"/>
      <c r="E932" s="2"/>
      <c r="F932" s="2"/>
      <c r="G932" s="2"/>
      <c r="H932" s="2"/>
      <c r="I932" s="2"/>
      <c r="J932" s="2"/>
      <c r="K932" s="2"/>
      <c r="L932" s="2"/>
      <c r="M932" s="2"/>
      <c r="N932" s="1"/>
      <c r="O932" s="2"/>
      <c r="P932" s="2"/>
      <c r="Q932" s="2"/>
      <c r="R932" s="2"/>
      <c r="S932" s="2"/>
      <c r="T932" s="2"/>
      <c r="U932" s="2"/>
      <c r="V932" s="2"/>
      <c r="W932" s="2"/>
      <c r="X932" s="2"/>
      <c r="Y932" s="2"/>
      <c r="Z932" s="1"/>
      <c r="AA932" s="1"/>
      <c r="AB932" s="1"/>
      <c r="AC932" s="1"/>
      <c r="AD932" s="1"/>
      <c r="AE932" s="1"/>
      <c r="AF932" s="1"/>
      <c r="AG932" s="1"/>
      <c r="AH932" s="1"/>
      <c r="AI932" s="1"/>
      <c r="AJ932" s="1"/>
      <c r="AK932" s="1"/>
    </row>
    <row r="933" ht="30.0" customHeight="1">
      <c r="A933" s="1"/>
      <c r="B933" s="1"/>
      <c r="C933" s="2"/>
      <c r="D933" s="2"/>
      <c r="E933" s="2"/>
      <c r="F933" s="2"/>
      <c r="G933" s="2"/>
      <c r="H933" s="2"/>
      <c r="I933" s="2"/>
      <c r="J933" s="2"/>
      <c r="K933" s="2"/>
      <c r="L933" s="2"/>
      <c r="M933" s="2"/>
      <c r="N933" s="1"/>
      <c r="O933" s="2"/>
      <c r="P933" s="2"/>
      <c r="Q933" s="2"/>
      <c r="R933" s="2"/>
      <c r="S933" s="2"/>
      <c r="T933" s="2"/>
      <c r="U933" s="2"/>
      <c r="V933" s="2"/>
      <c r="W933" s="2"/>
      <c r="X933" s="2"/>
      <c r="Y933" s="2"/>
      <c r="Z933" s="1"/>
      <c r="AA933" s="1"/>
      <c r="AB933" s="1"/>
      <c r="AC933" s="1"/>
      <c r="AD933" s="1"/>
      <c r="AE933" s="1"/>
      <c r="AF933" s="1"/>
      <c r="AG933" s="1"/>
      <c r="AH933" s="1"/>
      <c r="AI933" s="1"/>
      <c r="AJ933" s="1"/>
      <c r="AK933" s="1"/>
    </row>
    <row r="934" ht="30.0" customHeight="1">
      <c r="A934" s="1"/>
      <c r="B934" s="1"/>
      <c r="C934" s="2"/>
      <c r="D934" s="2"/>
      <c r="E934" s="2"/>
      <c r="F934" s="2"/>
      <c r="G934" s="2"/>
      <c r="H934" s="2"/>
      <c r="I934" s="2"/>
      <c r="J934" s="2"/>
      <c r="K934" s="2"/>
      <c r="L934" s="2"/>
      <c r="M934" s="2"/>
      <c r="N934" s="1"/>
      <c r="O934" s="2"/>
      <c r="P934" s="2"/>
      <c r="Q934" s="2"/>
      <c r="R934" s="2"/>
      <c r="S934" s="2"/>
      <c r="T934" s="2"/>
      <c r="U934" s="2"/>
      <c r="V934" s="2"/>
      <c r="W934" s="2"/>
      <c r="X934" s="2"/>
      <c r="Y934" s="2"/>
      <c r="Z934" s="1"/>
      <c r="AA934" s="1"/>
      <c r="AB934" s="1"/>
      <c r="AC934" s="1"/>
      <c r="AD934" s="1"/>
      <c r="AE934" s="1"/>
      <c r="AF934" s="1"/>
      <c r="AG934" s="1"/>
      <c r="AH934" s="1"/>
      <c r="AI934" s="1"/>
      <c r="AJ934" s="1"/>
      <c r="AK934" s="1"/>
    </row>
    <row r="935" ht="30.0" customHeight="1">
      <c r="A935" s="1"/>
      <c r="B935" s="1"/>
      <c r="C935" s="2"/>
      <c r="D935" s="2"/>
      <c r="E935" s="2"/>
      <c r="F935" s="2"/>
      <c r="G935" s="2"/>
      <c r="H935" s="2"/>
      <c r="I935" s="2"/>
      <c r="J935" s="2"/>
      <c r="K935" s="2"/>
      <c r="L935" s="2"/>
      <c r="M935" s="2"/>
      <c r="N935" s="1"/>
      <c r="O935" s="2"/>
      <c r="P935" s="2"/>
      <c r="Q935" s="2"/>
      <c r="R935" s="2"/>
      <c r="S935" s="2"/>
      <c r="T935" s="2"/>
      <c r="U935" s="2"/>
      <c r="V935" s="2"/>
      <c r="W935" s="2"/>
      <c r="X935" s="2"/>
      <c r="Y935" s="2"/>
      <c r="Z935" s="1"/>
      <c r="AA935" s="1"/>
      <c r="AB935" s="1"/>
      <c r="AC935" s="1"/>
      <c r="AD935" s="1"/>
      <c r="AE935" s="1"/>
      <c r="AF935" s="1"/>
      <c r="AG935" s="1"/>
      <c r="AH935" s="1"/>
      <c r="AI935" s="1"/>
      <c r="AJ935" s="1"/>
      <c r="AK935" s="1"/>
    </row>
    <row r="936" ht="30.0" customHeight="1">
      <c r="A936" s="1"/>
      <c r="B936" s="1"/>
      <c r="C936" s="2"/>
      <c r="D936" s="2"/>
      <c r="E936" s="2"/>
      <c r="F936" s="2"/>
      <c r="G936" s="2"/>
      <c r="H936" s="2"/>
      <c r="I936" s="2"/>
      <c r="J936" s="2"/>
      <c r="K936" s="2"/>
      <c r="L936" s="2"/>
      <c r="M936" s="2"/>
      <c r="N936" s="1"/>
      <c r="O936" s="2"/>
      <c r="P936" s="2"/>
      <c r="Q936" s="2"/>
      <c r="R936" s="2"/>
      <c r="S936" s="2"/>
      <c r="T936" s="2"/>
      <c r="U936" s="2"/>
      <c r="V936" s="2"/>
      <c r="W936" s="2"/>
      <c r="X936" s="2"/>
      <c r="Y936" s="2"/>
      <c r="Z936" s="1"/>
      <c r="AA936" s="1"/>
      <c r="AB936" s="1"/>
      <c r="AC936" s="1"/>
      <c r="AD936" s="1"/>
      <c r="AE936" s="1"/>
      <c r="AF936" s="1"/>
      <c r="AG936" s="1"/>
      <c r="AH936" s="1"/>
      <c r="AI936" s="1"/>
      <c r="AJ936" s="1"/>
      <c r="AK936" s="1"/>
    </row>
    <row r="937" ht="30.0" customHeight="1">
      <c r="A937" s="1"/>
      <c r="B937" s="1"/>
      <c r="C937" s="2"/>
      <c r="D937" s="2"/>
      <c r="E937" s="2"/>
      <c r="F937" s="2"/>
      <c r="G937" s="2"/>
      <c r="H937" s="2"/>
      <c r="I937" s="2"/>
      <c r="J937" s="2"/>
      <c r="K937" s="2"/>
      <c r="L937" s="2"/>
      <c r="M937" s="2"/>
      <c r="N937" s="1"/>
      <c r="O937" s="2"/>
      <c r="P937" s="2"/>
      <c r="Q937" s="2"/>
      <c r="R937" s="2"/>
      <c r="S937" s="2"/>
      <c r="T937" s="2"/>
      <c r="U937" s="2"/>
      <c r="V937" s="2"/>
      <c r="W937" s="2"/>
      <c r="X937" s="2"/>
      <c r="Y937" s="2"/>
      <c r="Z937" s="1"/>
      <c r="AA937" s="1"/>
      <c r="AB937" s="1"/>
      <c r="AC937" s="1"/>
      <c r="AD937" s="1"/>
      <c r="AE937" s="1"/>
      <c r="AF937" s="1"/>
      <c r="AG937" s="1"/>
      <c r="AH937" s="1"/>
      <c r="AI937" s="1"/>
      <c r="AJ937" s="1"/>
      <c r="AK937" s="1"/>
    </row>
    <row r="938" ht="30.0" customHeight="1">
      <c r="A938" s="1"/>
      <c r="B938" s="1"/>
      <c r="C938" s="2"/>
      <c r="D938" s="2"/>
      <c r="E938" s="2"/>
      <c r="F938" s="2"/>
      <c r="G938" s="2"/>
      <c r="H938" s="2"/>
      <c r="I938" s="2"/>
      <c r="J938" s="2"/>
      <c r="K938" s="2"/>
      <c r="L938" s="2"/>
      <c r="M938" s="2"/>
      <c r="N938" s="1"/>
      <c r="O938" s="2"/>
      <c r="P938" s="2"/>
      <c r="Q938" s="2"/>
      <c r="R938" s="2"/>
      <c r="S938" s="2"/>
      <c r="T938" s="2"/>
      <c r="U938" s="2"/>
      <c r="V938" s="2"/>
      <c r="W938" s="2"/>
      <c r="X938" s="2"/>
      <c r="Y938" s="2"/>
      <c r="Z938" s="1"/>
      <c r="AA938" s="1"/>
      <c r="AB938" s="1"/>
      <c r="AC938" s="1"/>
      <c r="AD938" s="1"/>
      <c r="AE938" s="1"/>
      <c r="AF938" s="1"/>
      <c r="AG938" s="1"/>
      <c r="AH938" s="1"/>
      <c r="AI938" s="1"/>
      <c r="AJ938" s="1"/>
      <c r="AK938" s="1"/>
    </row>
    <row r="939" ht="30.0" customHeight="1">
      <c r="A939" s="1"/>
      <c r="B939" s="1"/>
      <c r="C939" s="2"/>
      <c r="D939" s="2"/>
      <c r="E939" s="2"/>
      <c r="F939" s="2"/>
      <c r="G939" s="2"/>
      <c r="H939" s="2"/>
      <c r="I939" s="2"/>
      <c r="J939" s="2"/>
      <c r="K939" s="2"/>
      <c r="L939" s="2"/>
      <c r="M939" s="2"/>
      <c r="N939" s="1"/>
      <c r="O939" s="2"/>
      <c r="P939" s="2"/>
      <c r="Q939" s="2"/>
      <c r="R939" s="2"/>
      <c r="S939" s="2"/>
      <c r="T939" s="2"/>
      <c r="U939" s="2"/>
      <c r="V939" s="2"/>
      <c r="W939" s="2"/>
      <c r="X939" s="2"/>
      <c r="Y939" s="2"/>
      <c r="Z939" s="1"/>
      <c r="AA939" s="1"/>
      <c r="AB939" s="1"/>
      <c r="AC939" s="1"/>
      <c r="AD939" s="1"/>
      <c r="AE939" s="1"/>
      <c r="AF939" s="1"/>
      <c r="AG939" s="1"/>
      <c r="AH939" s="1"/>
      <c r="AI939" s="1"/>
      <c r="AJ939" s="1"/>
      <c r="AK939" s="1"/>
    </row>
    <row r="940" ht="30.0" customHeight="1">
      <c r="A940" s="1"/>
      <c r="B940" s="1"/>
      <c r="C940" s="2"/>
      <c r="D940" s="2"/>
      <c r="E940" s="2"/>
      <c r="F940" s="2"/>
      <c r="G940" s="2"/>
      <c r="H940" s="2"/>
      <c r="I940" s="2"/>
      <c r="J940" s="2"/>
      <c r="K940" s="2"/>
      <c r="L940" s="2"/>
      <c r="M940" s="2"/>
      <c r="N940" s="1"/>
      <c r="O940" s="2"/>
      <c r="P940" s="2"/>
      <c r="Q940" s="2"/>
      <c r="R940" s="2"/>
      <c r="S940" s="2"/>
      <c r="T940" s="2"/>
      <c r="U940" s="2"/>
      <c r="V940" s="2"/>
      <c r="W940" s="2"/>
      <c r="X940" s="2"/>
      <c r="Y940" s="2"/>
      <c r="Z940" s="1"/>
      <c r="AA940" s="1"/>
      <c r="AB940" s="1"/>
      <c r="AC940" s="1"/>
      <c r="AD940" s="1"/>
      <c r="AE940" s="1"/>
      <c r="AF940" s="1"/>
      <c r="AG940" s="1"/>
      <c r="AH940" s="1"/>
      <c r="AI940" s="1"/>
      <c r="AJ940" s="1"/>
      <c r="AK940" s="1"/>
    </row>
    <row r="941" ht="30.0" customHeight="1">
      <c r="A941" s="1"/>
      <c r="B941" s="1"/>
      <c r="C941" s="2"/>
      <c r="D941" s="2"/>
      <c r="E941" s="2"/>
      <c r="F941" s="2"/>
      <c r="G941" s="2"/>
      <c r="H941" s="2"/>
      <c r="I941" s="2"/>
      <c r="J941" s="2"/>
      <c r="K941" s="2"/>
      <c r="L941" s="2"/>
      <c r="M941" s="2"/>
      <c r="N941" s="1"/>
      <c r="O941" s="2"/>
      <c r="P941" s="2"/>
      <c r="Q941" s="2"/>
      <c r="R941" s="2"/>
      <c r="S941" s="2"/>
      <c r="T941" s="2"/>
      <c r="U941" s="2"/>
      <c r="V941" s="2"/>
      <c r="W941" s="2"/>
      <c r="X941" s="2"/>
      <c r="Y941" s="2"/>
      <c r="Z941" s="1"/>
      <c r="AA941" s="1"/>
      <c r="AB941" s="1"/>
      <c r="AC941" s="1"/>
      <c r="AD941" s="1"/>
      <c r="AE941" s="1"/>
      <c r="AF941" s="1"/>
      <c r="AG941" s="1"/>
      <c r="AH941" s="1"/>
      <c r="AI941" s="1"/>
      <c r="AJ941" s="1"/>
      <c r="AK941" s="1"/>
    </row>
    <row r="942" ht="30.0" customHeight="1">
      <c r="A942" s="1"/>
      <c r="B942" s="1"/>
      <c r="C942" s="2"/>
      <c r="D942" s="2"/>
      <c r="E942" s="2"/>
      <c r="F942" s="2"/>
      <c r="G942" s="2"/>
      <c r="H942" s="2"/>
      <c r="I942" s="2"/>
      <c r="J942" s="2"/>
      <c r="K942" s="2"/>
      <c r="L942" s="2"/>
      <c r="M942" s="2"/>
      <c r="N942" s="1"/>
      <c r="O942" s="2"/>
      <c r="P942" s="2"/>
      <c r="Q942" s="2"/>
      <c r="R942" s="2"/>
      <c r="S942" s="2"/>
      <c r="T942" s="2"/>
      <c r="U942" s="2"/>
      <c r="V942" s="2"/>
      <c r="W942" s="2"/>
      <c r="X942" s="2"/>
      <c r="Y942" s="2"/>
      <c r="Z942" s="1"/>
      <c r="AA942" s="1"/>
      <c r="AB942" s="1"/>
      <c r="AC942" s="1"/>
      <c r="AD942" s="1"/>
      <c r="AE942" s="1"/>
      <c r="AF942" s="1"/>
      <c r="AG942" s="1"/>
      <c r="AH942" s="1"/>
      <c r="AI942" s="1"/>
      <c r="AJ942" s="1"/>
      <c r="AK942" s="1"/>
    </row>
    <row r="943" ht="30.0" customHeight="1">
      <c r="A943" s="1"/>
      <c r="B943" s="1"/>
      <c r="C943" s="2"/>
      <c r="D943" s="2"/>
      <c r="E943" s="2"/>
      <c r="F943" s="2"/>
      <c r="G943" s="2"/>
      <c r="H943" s="2"/>
      <c r="I943" s="2"/>
      <c r="J943" s="2"/>
      <c r="K943" s="2"/>
      <c r="L943" s="2"/>
      <c r="M943" s="2"/>
      <c r="N943" s="1"/>
      <c r="O943" s="2"/>
      <c r="P943" s="2"/>
      <c r="Q943" s="2"/>
      <c r="R943" s="2"/>
      <c r="S943" s="2"/>
      <c r="T943" s="2"/>
      <c r="U943" s="2"/>
      <c r="V943" s="2"/>
      <c r="W943" s="2"/>
      <c r="X943" s="2"/>
      <c r="Y943" s="2"/>
      <c r="Z943" s="1"/>
      <c r="AA943" s="1"/>
      <c r="AB943" s="1"/>
      <c r="AC943" s="1"/>
      <c r="AD943" s="1"/>
      <c r="AE943" s="1"/>
      <c r="AF943" s="1"/>
      <c r="AG943" s="1"/>
      <c r="AH943" s="1"/>
      <c r="AI943" s="1"/>
      <c r="AJ943" s="1"/>
      <c r="AK943" s="1"/>
    </row>
    <row r="944" ht="30.0" customHeight="1">
      <c r="A944" s="1"/>
      <c r="B944" s="1"/>
      <c r="C944" s="2"/>
      <c r="D944" s="2"/>
      <c r="E944" s="2"/>
      <c r="F944" s="2"/>
      <c r="G944" s="2"/>
      <c r="H944" s="2"/>
      <c r="I944" s="2"/>
      <c r="J944" s="2"/>
      <c r="K944" s="2"/>
      <c r="L944" s="2"/>
      <c r="M944" s="2"/>
      <c r="N944" s="1"/>
      <c r="O944" s="2"/>
      <c r="P944" s="2"/>
      <c r="Q944" s="2"/>
      <c r="R944" s="2"/>
      <c r="S944" s="2"/>
      <c r="T944" s="2"/>
      <c r="U944" s="2"/>
      <c r="V944" s="2"/>
      <c r="W944" s="2"/>
      <c r="X944" s="2"/>
      <c r="Y944" s="2"/>
      <c r="Z944" s="1"/>
      <c r="AA944" s="1"/>
      <c r="AB944" s="1"/>
      <c r="AC944" s="1"/>
      <c r="AD944" s="1"/>
      <c r="AE944" s="1"/>
      <c r="AF944" s="1"/>
      <c r="AG944" s="1"/>
      <c r="AH944" s="1"/>
      <c r="AI944" s="1"/>
      <c r="AJ944" s="1"/>
      <c r="AK944" s="1"/>
    </row>
    <row r="945" ht="30.0" customHeight="1">
      <c r="A945" s="1"/>
      <c r="B945" s="1"/>
      <c r="C945" s="2"/>
      <c r="D945" s="2"/>
      <c r="E945" s="2"/>
      <c r="F945" s="2"/>
      <c r="G945" s="2"/>
      <c r="H945" s="2"/>
      <c r="I945" s="2"/>
      <c r="J945" s="2"/>
      <c r="K945" s="2"/>
      <c r="L945" s="2"/>
      <c r="M945" s="2"/>
      <c r="N945" s="1"/>
      <c r="O945" s="2"/>
      <c r="P945" s="2"/>
      <c r="Q945" s="2"/>
      <c r="R945" s="2"/>
      <c r="S945" s="2"/>
      <c r="T945" s="2"/>
      <c r="U945" s="2"/>
      <c r="V945" s="2"/>
      <c r="W945" s="2"/>
      <c r="X945" s="2"/>
      <c r="Y945" s="2"/>
      <c r="Z945" s="1"/>
      <c r="AA945" s="1"/>
      <c r="AB945" s="1"/>
      <c r="AC945" s="1"/>
      <c r="AD945" s="1"/>
      <c r="AE945" s="1"/>
      <c r="AF945" s="1"/>
      <c r="AG945" s="1"/>
      <c r="AH945" s="1"/>
      <c r="AI945" s="1"/>
      <c r="AJ945" s="1"/>
      <c r="AK945" s="1"/>
    </row>
    <row r="946" ht="30.0" customHeight="1">
      <c r="A946" s="1"/>
      <c r="B946" s="1"/>
      <c r="C946" s="2"/>
      <c r="D946" s="2"/>
      <c r="E946" s="2"/>
      <c r="F946" s="2"/>
      <c r="G946" s="2"/>
      <c r="H946" s="2"/>
      <c r="I946" s="2"/>
      <c r="J946" s="2"/>
      <c r="K946" s="2"/>
      <c r="L946" s="2"/>
      <c r="M946" s="2"/>
      <c r="N946" s="1"/>
      <c r="O946" s="2"/>
      <c r="P946" s="2"/>
      <c r="Q946" s="2"/>
      <c r="R946" s="2"/>
      <c r="S946" s="2"/>
      <c r="T946" s="2"/>
      <c r="U946" s="2"/>
      <c r="V946" s="2"/>
      <c r="W946" s="2"/>
      <c r="X946" s="2"/>
      <c r="Y946" s="2"/>
      <c r="Z946" s="1"/>
      <c r="AA946" s="1"/>
      <c r="AB946" s="1"/>
      <c r="AC946" s="1"/>
      <c r="AD946" s="1"/>
      <c r="AE946" s="1"/>
      <c r="AF946" s="1"/>
      <c r="AG946" s="1"/>
      <c r="AH946" s="1"/>
      <c r="AI946" s="1"/>
      <c r="AJ946" s="1"/>
      <c r="AK946" s="1"/>
    </row>
    <row r="947" ht="30.0" customHeight="1">
      <c r="A947" s="1"/>
      <c r="B947" s="1"/>
      <c r="C947" s="2"/>
      <c r="D947" s="2"/>
      <c r="E947" s="2"/>
      <c r="F947" s="2"/>
      <c r="G947" s="2"/>
      <c r="H947" s="2"/>
      <c r="I947" s="2"/>
      <c r="J947" s="2"/>
      <c r="K947" s="2"/>
      <c r="L947" s="2"/>
      <c r="M947" s="2"/>
      <c r="N947" s="1"/>
      <c r="O947" s="2"/>
      <c r="P947" s="2"/>
      <c r="Q947" s="2"/>
      <c r="R947" s="2"/>
      <c r="S947" s="2"/>
      <c r="T947" s="2"/>
      <c r="U947" s="2"/>
      <c r="V947" s="2"/>
      <c r="W947" s="2"/>
      <c r="X947" s="2"/>
      <c r="Y947" s="2"/>
      <c r="Z947" s="1"/>
      <c r="AA947" s="1"/>
      <c r="AB947" s="1"/>
      <c r="AC947" s="1"/>
      <c r="AD947" s="1"/>
      <c r="AE947" s="1"/>
      <c r="AF947" s="1"/>
      <c r="AG947" s="1"/>
      <c r="AH947" s="1"/>
      <c r="AI947" s="1"/>
      <c r="AJ947" s="1"/>
      <c r="AK947" s="1"/>
    </row>
    <row r="948" ht="30.0" customHeight="1">
      <c r="A948" s="1"/>
      <c r="B948" s="1"/>
      <c r="C948" s="2"/>
      <c r="D948" s="2"/>
      <c r="E948" s="2"/>
      <c r="F948" s="2"/>
      <c r="G948" s="2"/>
      <c r="H948" s="2"/>
      <c r="I948" s="2"/>
      <c r="J948" s="2"/>
      <c r="K948" s="2"/>
      <c r="L948" s="2"/>
      <c r="M948" s="2"/>
      <c r="N948" s="1"/>
      <c r="O948" s="2"/>
      <c r="P948" s="2"/>
      <c r="Q948" s="2"/>
      <c r="R948" s="2"/>
      <c r="S948" s="2"/>
      <c r="T948" s="2"/>
      <c r="U948" s="2"/>
      <c r="V948" s="2"/>
      <c r="W948" s="2"/>
      <c r="X948" s="2"/>
      <c r="Y948" s="2"/>
      <c r="Z948" s="1"/>
      <c r="AA948" s="1"/>
      <c r="AB948" s="1"/>
      <c r="AC948" s="1"/>
      <c r="AD948" s="1"/>
      <c r="AE948" s="1"/>
      <c r="AF948" s="1"/>
      <c r="AG948" s="1"/>
      <c r="AH948" s="1"/>
      <c r="AI948" s="1"/>
      <c r="AJ948" s="1"/>
      <c r="AK948" s="1"/>
    </row>
    <row r="949" ht="30.0" customHeight="1">
      <c r="A949" s="1"/>
      <c r="B949" s="1"/>
      <c r="C949" s="2"/>
      <c r="D949" s="2"/>
      <c r="E949" s="2"/>
      <c r="F949" s="2"/>
      <c r="G949" s="2"/>
      <c r="H949" s="2"/>
      <c r="I949" s="2"/>
      <c r="J949" s="2"/>
      <c r="K949" s="2"/>
      <c r="L949" s="2"/>
      <c r="M949" s="2"/>
      <c r="N949" s="1"/>
      <c r="O949" s="2"/>
      <c r="P949" s="2"/>
      <c r="Q949" s="2"/>
      <c r="R949" s="2"/>
      <c r="S949" s="2"/>
      <c r="T949" s="2"/>
      <c r="U949" s="2"/>
      <c r="V949" s="2"/>
      <c r="W949" s="2"/>
      <c r="X949" s="2"/>
      <c r="Y949" s="2"/>
      <c r="Z949" s="1"/>
      <c r="AA949" s="1"/>
      <c r="AB949" s="1"/>
      <c r="AC949" s="1"/>
      <c r="AD949" s="1"/>
      <c r="AE949" s="1"/>
      <c r="AF949" s="1"/>
      <c r="AG949" s="1"/>
      <c r="AH949" s="1"/>
      <c r="AI949" s="1"/>
      <c r="AJ949" s="1"/>
      <c r="AK949" s="1"/>
    </row>
    <row r="950" ht="30.0" customHeight="1">
      <c r="A950" s="1"/>
      <c r="B950" s="1"/>
      <c r="C950" s="2"/>
      <c r="D950" s="2"/>
      <c r="E950" s="2"/>
      <c r="F950" s="2"/>
      <c r="G950" s="2"/>
      <c r="H950" s="2"/>
      <c r="I950" s="2"/>
      <c r="J950" s="2"/>
      <c r="K950" s="2"/>
      <c r="L950" s="2"/>
      <c r="M950" s="2"/>
      <c r="N950" s="1"/>
      <c r="O950" s="2"/>
      <c r="P950" s="2"/>
      <c r="Q950" s="2"/>
      <c r="R950" s="2"/>
      <c r="S950" s="2"/>
      <c r="T950" s="2"/>
      <c r="U950" s="2"/>
      <c r="V950" s="2"/>
      <c r="W950" s="2"/>
      <c r="X950" s="2"/>
      <c r="Y950" s="2"/>
      <c r="Z950" s="1"/>
      <c r="AA950" s="1"/>
      <c r="AB950" s="1"/>
      <c r="AC950" s="1"/>
      <c r="AD950" s="1"/>
      <c r="AE950" s="1"/>
      <c r="AF950" s="1"/>
      <c r="AG950" s="1"/>
      <c r="AH950" s="1"/>
      <c r="AI950" s="1"/>
      <c r="AJ950" s="1"/>
      <c r="AK950" s="1"/>
    </row>
    <row r="951" ht="30.0" customHeight="1">
      <c r="A951" s="1"/>
      <c r="B951" s="1"/>
      <c r="C951" s="2"/>
      <c r="D951" s="2"/>
      <c r="E951" s="2"/>
      <c r="F951" s="2"/>
      <c r="G951" s="2"/>
      <c r="H951" s="2"/>
      <c r="I951" s="2"/>
      <c r="J951" s="2"/>
      <c r="K951" s="2"/>
      <c r="L951" s="2"/>
      <c r="M951" s="2"/>
      <c r="N951" s="1"/>
      <c r="O951" s="2"/>
      <c r="P951" s="2"/>
      <c r="Q951" s="2"/>
      <c r="R951" s="2"/>
      <c r="S951" s="2"/>
      <c r="T951" s="2"/>
      <c r="U951" s="2"/>
      <c r="V951" s="2"/>
      <c r="W951" s="2"/>
      <c r="X951" s="2"/>
      <c r="Y951" s="2"/>
      <c r="Z951" s="1"/>
      <c r="AA951" s="1"/>
      <c r="AB951" s="1"/>
      <c r="AC951" s="1"/>
      <c r="AD951" s="1"/>
      <c r="AE951" s="1"/>
      <c r="AF951" s="1"/>
      <c r="AG951" s="1"/>
      <c r="AH951" s="1"/>
      <c r="AI951" s="1"/>
      <c r="AJ951" s="1"/>
      <c r="AK951" s="1"/>
    </row>
    <row r="952" ht="30.0" customHeight="1">
      <c r="A952" s="1"/>
      <c r="B952" s="1"/>
      <c r="C952" s="2"/>
      <c r="D952" s="2"/>
      <c r="E952" s="2"/>
      <c r="F952" s="2"/>
      <c r="G952" s="2"/>
      <c r="H952" s="2"/>
      <c r="I952" s="2"/>
      <c r="J952" s="2"/>
      <c r="K952" s="2"/>
      <c r="L952" s="2"/>
      <c r="M952" s="2"/>
      <c r="N952" s="1"/>
      <c r="O952" s="2"/>
      <c r="P952" s="2"/>
      <c r="Q952" s="2"/>
      <c r="R952" s="2"/>
      <c r="S952" s="2"/>
      <c r="T952" s="2"/>
      <c r="U952" s="2"/>
      <c r="V952" s="2"/>
      <c r="W952" s="2"/>
      <c r="X952" s="2"/>
      <c r="Y952" s="2"/>
      <c r="Z952" s="1"/>
      <c r="AA952" s="1"/>
      <c r="AB952" s="1"/>
      <c r="AC952" s="1"/>
      <c r="AD952" s="1"/>
      <c r="AE952" s="1"/>
      <c r="AF952" s="1"/>
      <c r="AG952" s="1"/>
      <c r="AH952" s="1"/>
      <c r="AI952" s="1"/>
      <c r="AJ952" s="1"/>
      <c r="AK952" s="1"/>
    </row>
    <row r="953" ht="30.0" customHeight="1">
      <c r="A953" s="1"/>
      <c r="B953" s="1"/>
      <c r="C953" s="2"/>
      <c r="D953" s="2"/>
      <c r="E953" s="2"/>
      <c r="F953" s="2"/>
      <c r="G953" s="2"/>
      <c r="H953" s="2"/>
      <c r="I953" s="2"/>
      <c r="J953" s="2"/>
      <c r="K953" s="2"/>
      <c r="L953" s="2"/>
      <c r="M953" s="2"/>
      <c r="N953" s="1"/>
      <c r="O953" s="2"/>
      <c r="P953" s="2"/>
      <c r="Q953" s="2"/>
      <c r="R953" s="2"/>
      <c r="S953" s="2"/>
      <c r="T953" s="2"/>
      <c r="U953" s="2"/>
      <c r="V953" s="2"/>
      <c r="W953" s="2"/>
      <c r="X953" s="2"/>
      <c r="Y953" s="2"/>
      <c r="Z953" s="1"/>
      <c r="AA953" s="1"/>
      <c r="AB953" s="1"/>
      <c r="AC953" s="1"/>
      <c r="AD953" s="1"/>
      <c r="AE953" s="1"/>
      <c r="AF953" s="1"/>
      <c r="AG953" s="1"/>
      <c r="AH953" s="1"/>
      <c r="AI953" s="1"/>
      <c r="AJ953" s="1"/>
      <c r="AK953" s="1"/>
    </row>
    <row r="954" ht="30.0" customHeight="1">
      <c r="A954" s="1"/>
      <c r="B954" s="1"/>
      <c r="C954" s="2"/>
      <c r="D954" s="2"/>
      <c r="E954" s="2"/>
      <c r="F954" s="2"/>
      <c r="G954" s="2"/>
      <c r="H954" s="2"/>
      <c r="I954" s="2"/>
      <c r="J954" s="2"/>
      <c r="K954" s="2"/>
      <c r="L954" s="2"/>
      <c r="M954" s="2"/>
      <c r="N954" s="1"/>
      <c r="O954" s="2"/>
      <c r="P954" s="2"/>
      <c r="Q954" s="2"/>
      <c r="R954" s="2"/>
      <c r="S954" s="2"/>
      <c r="T954" s="2"/>
      <c r="U954" s="2"/>
      <c r="V954" s="2"/>
      <c r="W954" s="2"/>
      <c r="X954" s="2"/>
      <c r="Y954" s="2"/>
      <c r="Z954" s="1"/>
      <c r="AA954" s="1"/>
      <c r="AB954" s="1"/>
      <c r="AC954" s="1"/>
      <c r="AD954" s="1"/>
      <c r="AE954" s="1"/>
      <c r="AF954" s="1"/>
      <c r="AG954" s="1"/>
      <c r="AH954" s="1"/>
      <c r="AI954" s="1"/>
      <c r="AJ954" s="1"/>
      <c r="AK954" s="1"/>
    </row>
    <row r="955" ht="30.0" customHeight="1">
      <c r="A955" s="1"/>
      <c r="B955" s="1"/>
      <c r="C955" s="2"/>
      <c r="D955" s="2"/>
      <c r="E955" s="2"/>
      <c r="F955" s="2"/>
      <c r="G955" s="2"/>
      <c r="H955" s="2"/>
      <c r="I955" s="2"/>
      <c r="J955" s="2"/>
      <c r="K955" s="2"/>
      <c r="L955" s="2"/>
      <c r="M955" s="2"/>
      <c r="N955" s="1"/>
      <c r="O955" s="2"/>
      <c r="P955" s="2"/>
      <c r="Q955" s="2"/>
      <c r="R955" s="2"/>
      <c r="S955" s="2"/>
      <c r="T955" s="2"/>
      <c r="U955" s="2"/>
      <c r="V955" s="2"/>
      <c r="W955" s="2"/>
      <c r="X955" s="2"/>
      <c r="Y955" s="2"/>
      <c r="Z955" s="1"/>
      <c r="AA955" s="1"/>
      <c r="AB955" s="1"/>
      <c r="AC955" s="1"/>
      <c r="AD955" s="1"/>
      <c r="AE955" s="1"/>
      <c r="AF955" s="1"/>
      <c r="AG955" s="1"/>
      <c r="AH955" s="1"/>
      <c r="AI955" s="1"/>
      <c r="AJ955" s="1"/>
      <c r="AK955" s="1"/>
    </row>
    <row r="956" ht="30.0" customHeight="1">
      <c r="A956" s="1"/>
      <c r="B956" s="1"/>
      <c r="C956" s="2"/>
      <c r="D956" s="2"/>
      <c r="E956" s="2"/>
      <c r="F956" s="2"/>
      <c r="G956" s="2"/>
      <c r="H956" s="2"/>
      <c r="I956" s="2"/>
      <c r="J956" s="2"/>
      <c r="K956" s="2"/>
      <c r="L956" s="2"/>
      <c r="M956" s="2"/>
      <c r="N956" s="1"/>
      <c r="O956" s="2"/>
      <c r="P956" s="2"/>
      <c r="Q956" s="2"/>
      <c r="R956" s="2"/>
      <c r="S956" s="2"/>
      <c r="T956" s="2"/>
      <c r="U956" s="2"/>
      <c r="V956" s="2"/>
      <c r="W956" s="2"/>
      <c r="X956" s="2"/>
      <c r="Y956" s="2"/>
      <c r="Z956" s="1"/>
      <c r="AA956" s="1"/>
      <c r="AB956" s="1"/>
      <c r="AC956" s="1"/>
      <c r="AD956" s="1"/>
      <c r="AE956" s="1"/>
      <c r="AF956" s="1"/>
      <c r="AG956" s="1"/>
      <c r="AH956" s="1"/>
      <c r="AI956" s="1"/>
      <c r="AJ956" s="1"/>
      <c r="AK956" s="1"/>
    </row>
    <row r="957" ht="30.0" customHeight="1">
      <c r="A957" s="1"/>
      <c r="B957" s="1"/>
      <c r="C957" s="2"/>
      <c r="D957" s="2"/>
      <c r="E957" s="2"/>
      <c r="F957" s="2"/>
      <c r="G957" s="2"/>
      <c r="H957" s="2"/>
      <c r="I957" s="2"/>
      <c r="J957" s="2"/>
      <c r="K957" s="2"/>
      <c r="L957" s="2"/>
      <c r="M957" s="2"/>
      <c r="N957" s="1"/>
      <c r="O957" s="2"/>
      <c r="P957" s="2"/>
      <c r="Q957" s="2"/>
      <c r="R957" s="2"/>
      <c r="S957" s="2"/>
      <c r="T957" s="2"/>
      <c r="U957" s="2"/>
      <c r="V957" s="2"/>
      <c r="W957" s="2"/>
      <c r="X957" s="2"/>
      <c r="Y957" s="2"/>
      <c r="Z957" s="1"/>
      <c r="AA957" s="1"/>
      <c r="AB957" s="1"/>
      <c r="AC957" s="1"/>
      <c r="AD957" s="1"/>
      <c r="AE957" s="1"/>
      <c r="AF957" s="1"/>
      <c r="AG957" s="1"/>
      <c r="AH957" s="1"/>
      <c r="AI957" s="1"/>
      <c r="AJ957" s="1"/>
      <c r="AK957" s="1"/>
    </row>
    <row r="958" ht="30.0" customHeight="1">
      <c r="A958" s="1"/>
      <c r="B958" s="1"/>
      <c r="C958" s="2"/>
      <c r="D958" s="2"/>
      <c r="E958" s="2"/>
      <c r="F958" s="2"/>
      <c r="G958" s="2"/>
      <c r="H958" s="2"/>
      <c r="I958" s="2"/>
      <c r="J958" s="2"/>
      <c r="K958" s="2"/>
      <c r="L958" s="2"/>
      <c r="M958" s="2"/>
      <c r="N958" s="1"/>
      <c r="O958" s="2"/>
      <c r="P958" s="2"/>
      <c r="Q958" s="2"/>
      <c r="R958" s="2"/>
      <c r="S958" s="2"/>
      <c r="T958" s="2"/>
      <c r="U958" s="2"/>
      <c r="V958" s="2"/>
      <c r="W958" s="2"/>
      <c r="X958" s="2"/>
      <c r="Y958" s="2"/>
      <c r="Z958" s="1"/>
      <c r="AA958" s="1"/>
      <c r="AB958" s="1"/>
      <c r="AC958" s="1"/>
      <c r="AD958" s="1"/>
      <c r="AE958" s="1"/>
      <c r="AF958" s="1"/>
      <c r="AG958" s="1"/>
      <c r="AH958" s="1"/>
      <c r="AI958" s="1"/>
      <c r="AJ958" s="1"/>
      <c r="AK958" s="1"/>
    </row>
    <row r="959" ht="30.0" customHeight="1">
      <c r="A959" s="1"/>
      <c r="B959" s="1"/>
      <c r="C959" s="2"/>
      <c r="D959" s="2"/>
      <c r="E959" s="2"/>
      <c r="F959" s="2"/>
      <c r="G959" s="2"/>
      <c r="H959" s="2"/>
      <c r="I959" s="2"/>
      <c r="J959" s="2"/>
      <c r="K959" s="2"/>
      <c r="L959" s="2"/>
      <c r="M959" s="2"/>
      <c r="N959" s="1"/>
      <c r="O959" s="2"/>
      <c r="P959" s="2"/>
      <c r="Q959" s="2"/>
      <c r="R959" s="2"/>
      <c r="S959" s="2"/>
      <c r="T959" s="2"/>
      <c r="U959" s="2"/>
      <c r="V959" s="2"/>
      <c r="W959" s="2"/>
      <c r="X959" s="2"/>
      <c r="Y959" s="2"/>
      <c r="Z959" s="1"/>
      <c r="AA959" s="1"/>
      <c r="AB959" s="1"/>
      <c r="AC959" s="1"/>
      <c r="AD959" s="1"/>
      <c r="AE959" s="1"/>
      <c r="AF959" s="1"/>
      <c r="AG959" s="1"/>
      <c r="AH959" s="1"/>
      <c r="AI959" s="1"/>
      <c r="AJ959" s="1"/>
      <c r="AK959" s="1"/>
    </row>
    <row r="960" ht="30.0" customHeight="1">
      <c r="A960" s="1"/>
      <c r="B960" s="1"/>
      <c r="C960" s="2"/>
      <c r="D960" s="2"/>
      <c r="E960" s="2"/>
      <c r="F960" s="2"/>
      <c r="G960" s="2"/>
      <c r="H960" s="2"/>
      <c r="I960" s="2"/>
      <c r="J960" s="2"/>
      <c r="K960" s="2"/>
      <c r="L960" s="2"/>
      <c r="M960" s="2"/>
      <c r="N960" s="1"/>
      <c r="O960" s="2"/>
      <c r="P960" s="2"/>
      <c r="Q960" s="2"/>
      <c r="R960" s="2"/>
      <c r="S960" s="2"/>
      <c r="T960" s="2"/>
      <c r="U960" s="2"/>
      <c r="V960" s="2"/>
      <c r="W960" s="2"/>
      <c r="X960" s="2"/>
      <c r="Y960" s="2"/>
      <c r="Z960" s="1"/>
      <c r="AA960" s="1"/>
      <c r="AB960" s="1"/>
      <c r="AC960" s="1"/>
      <c r="AD960" s="1"/>
      <c r="AE960" s="1"/>
      <c r="AF960" s="1"/>
      <c r="AG960" s="1"/>
      <c r="AH960" s="1"/>
      <c r="AI960" s="1"/>
      <c r="AJ960" s="1"/>
      <c r="AK960" s="1"/>
    </row>
    <row r="961" ht="30.0" customHeight="1">
      <c r="A961" s="1"/>
      <c r="B961" s="1"/>
      <c r="C961" s="2"/>
      <c r="D961" s="2"/>
      <c r="E961" s="2"/>
      <c r="F961" s="2"/>
      <c r="G961" s="2"/>
      <c r="H961" s="2"/>
      <c r="I961" s="2"/>
      <c r="J961" s="2"/>
      <c r="K961" s="2"/>
      <c r="L961" s="2"/>
      <c r="M961" s="2"/>
      <c r="N961" s="1"/>
      <c r="O961" s="2"/>
      <c r="P961" s="2"/>
      <c r="Q961" s="2"/>
      <c r="R961" s="2"/>
      <c r="S961" s="2"/>
      <c r="T961" s="2"/>
      <c r="U961" s="2"/>
      <c r="V961" s="2"/>
      <c r="W961" s="2"/>
      <c r="X961" s="2"/>
      <c r="Y961" s="2"/>
      <c r="Z961" s="1"/>
      <c r="AA961" s="1"/>
      <c r="AB961" s="1"/>
      <c r="AC961" s="1"/>
      <c r="AD961" s="1"/>
      <c r="AE961" s="1"/>
      <c r="AF961" s="1"/>
      <c r="AG961" s="1"/>
      <c r="AH961" s="1"/>
      <c r="AI961" s="1"/>
      <c r="AJ961" s="1"/>
      <c r="AK961" s="1"/>
    </row>
    <row r="962" ht="30.0" customHeight="1">
      <c r="A962" s="1"/>
      <c r="B962" s="1"/>
      <c r="C962" s="2"/>
      <c r="D962" s="2"/>
      <c r="E962" s="2"/>
      <c r="F962" s="2"/>
      <c r="G962" s="2"/>
      <c r="H962" s="2"/>
      <c r="I962" s="2"/>
      <c r="J962" s="2"/>
      <c r="K962" s="2"/>
      <c r="L962" s="2"/>
      <c r="M962" s="2"/>
      <c r="N962" s="1"/>
      <c r="O962" s="2"/>
      <c r="P962" s="2"/>
      <c r="Q962" s="2"/>
      <c r="R962" s="2"/>
      <c r="S962" s="2"/>
      <c r="T962" s="2"/>
      <c r="U962" s="2"/>
      <c r="V962" s="2"/>
      <c r="W962" s="2"/>
      <c r="X962" s="2"/>
      <c r="Y962" s="2"/>
      <c r="Z962" s="1"/>
      <c r="AA962" s="1"/>
      <c r="AB962" s="1"/>
      <c r="AC962" s="1"/>
      <c r="AD962" s="1"/>
      <c r="AE962" s="1"/>
      <c r="AF962" s="1"/>
      <c r="AG962" s="1"/>
      <c r="AH962" s="1"/>
      <c r="AI962" s="1"/>
      <c r="AJ962" s="1"/>
      <c r="AK962" s="1"/>
    </row>
    <row r="963" ht="30.0" customHeight="1">
      <c r="A963" s="1"/>
      <c r="B963" s="1"/>
      <c r="C963" s="2"/>
      <c r="D963" s="2"/>
      <c r="E963" s="2"/>
      <c r="F963" s="2"/>
      <c r="G963" s="2"/>
      <c r="H963" s="2"/>
      <c r="I963" s="2"/>
      <c r="J963" s="2"/>
      <c r="K963" s="2"/>
      <c r="L963" s="2"/>
      <c r="M963" s="2"/>
      <c r="N963" s="1"/>
      <c r="O963" s="2"/>
      <c r="P963" s="2"/>
      <c r="Q963" s="2"/>
      <c r="R963" s="2"/>
      <c r="S963" s="2"/>
      <c r="T963" s="2"/>
      <c r="U963" s="2"/>
      <c r="V963" s="2"/>
      <c r="W963" s="2"/>
      <c r="X963" s="2"/>
      <c r="Y963" s="2"/>
      <c r="Z963" s="1"/>
      <c r="AA963" s="1"/>
      <c r="AB963" s="1"/>
      <c r="AC963" s="1"/>
      <c r="AD963" s="1"/>
      <c r="AE963" s="1"/>
      <c r="AF963" s="1"/>
      <c r="AG963" s="1"/>
      <c r="AH963" s="1"/>
      <c r="AI963" s="1"/>
      <c r="AJ963" s="1"/>
      <c r="AK963" s="1"/>
    </row>
    <row r="964" ht="30.0" customHeight="1">
      <c r="A964" s="1"/>
      <c r="B964" s="1"/>
      <c r="C964" s="2"/>
      <c r="D964" s="2"/>
      <c r="E964" s="2"/>
      <c r="F964" s="2"/>
      <c r="G964" s="2"/>
      <c r="H964" s="2"/>
      <c r="I964" s="2"/>
      <c r="J964" s="2"/>
      <c r="K964" s="2"/>
      <c r="L964" s="2"/>
      <c r="M964" s="2"/>
      <c r="N964" s="1"/>
      <c r="O964" s="2"/>
      <c r="P964" s="2"/>
      <c r="Q964" s="2"/>
      <c r="R964" s="2"/>
      <c r="S964" s="2"/>
      <c r="T964" s="2"/>
      <c r="U964" s="2"/>
      <c r="V964" s="2"/>
      <c r="W964" s="2"/>
      <c r="X964" s="2"/>
      <c r="Y964" s="2"/>
      <c r="Z964" s="1"/>
      <c r="AA964" s="1"/>
      <c r="AB964" s="1"/>
      <c r="AC964" s="1"/>
      <c r="AD964" s="1"/>
      <c r="AE964" s="1"/>
      <c r="AF964" s="1"/>
      <c r="AG964" s="1"/>
      <c r="AH964" s="1"/>
      <c r="AI964" s="1"/>
      <c r="AJ964" s="1"/>
      <c r="AK964" s="1"/>
    </row>
    <row r="965" ht="30.0" customHeight="1">
      <c r="A965" s="1"/>
      <c r="B965" s="1"/>
      <c r="C965" s="2"/>
      <c r="D965" s="2"/>
      <c r="E965" s="2"/>
      <c r="F965" s="2"/>
      <c r="G965" s="2"/>
      <c r="H965" s="2"/>
      <c r="I965" s="2"/>
      <c r="J965" s="2"/>
      <c r="K965" s="2"/>
      <c r="L965" s="2"/>
      <c r="M965" s="2"/>
      <c r="N965" s="1"/>
      <c r="O965" s="2"/>
      <c r="P965" s="2"/>
      <c r="Q965" s="2"/>
      <c r="R965" s="2"/>
      <c r="S965" s="2"/>
      <c r="T965" s="2"/>
      <c r="U965" s="2"/>
      <c r="V965" s="2"/>
      <c r="W965" s="2"/>
      <c r="X965" s="2"/>
      <c r="Y965" s="2"/>
      <c r="Z965" s="1"/>
      <c r="AA965" s="1"/>
      <c r="AB965" s="1"/>
      <c r="AC965" s="1"/>
      <c r="AD965" s="1"/>
      <c r="AE965" s="1"/>
      <c r="AF965" s="1"/>
      <c r="AG965" s="1"/>
      <c r="AH965" s="1"/>
      <c r="AI965" s="1"/>
      <c r="AJ965" s="1"/>
      <c r="AK965" s="1"/>
    </row>
    <row r="966" ht="30.0" customHeight="1">
      <c r="A966" s="1"/>
      <c r="B966" s="1"/>
      <c r="C966" s="2"/>
      <c r="D966" s="2"/>
      <c r="E966" s="2"/>
      <c r="F966" s="2"/>
      <c r="G966" s="2"/>
      <c r="H966" s="2"/>
      <c r="I966" s="2"/>
      <c r="J966" s="2"/>
      <c r="K966" s="2"/>
      <c r="L966" s="2"/>
      <c r="M966" s="2"/>
      <c r="N966" s="1"/>
      <c r="O966" s="2"/>
      <c r="P966" s="2"/>
      <c r="Q966" s="2"/>
      <c r="R966" s="2"/>
      <c r="S966" s="2"/>
      <c r="T966" s="2"/>
      <c r="U966" s="2"/>
      <c r="V966" s="2"/>
      <c r="W966" s="2"/>
      <c r="X966" s="2"/>
      <c r="Y966" s="2"/>
      <c r="Z966" s="1"/>
      <c r="AA966" s="1"/>
      <c r="AB966" s="1"/>
      <c r="AC966" s="1"/>
      <c r="AD966" s="1"/>
      <c r="AE966" s="1"/>
      <c r="AF966" s="1"/>
      <c r="AG966" s="1"/>
      <c r="AH966" s="1"/>
      <c r="AI966" s="1"/>
      <c r="AJ966" s="1"/>
      <c r="AK966" s="1"/>
    </row>
    <row r="967" ht="30.0" customHeight="1">
      <c r="A967" s="1"/>
      <c r="B967" s="1"/>
      <c r="C967" s="2"/>
      <c r="D967" s="2"/>
      <c r="E967" s="2"/>
      <c r="F967" s="2"/>
      <c r="G967" s="2"/>
      <c r="H967" s="2"/>
      <c r="I967" s="2"/>
      <c r="J967" s="2"/>
      <c r="K967" s="2"/>
      <c r="L967" s="2"/>
      <c r="M967" s="2"/>
      <c r="N967" s="1"/>
      <c r="O967" s="2"/>
      <c r="P967" s="2"/>
      <c r="Q967" s="2"/>
      <c r="R967" s="2"/>
      <c r="S967" s="2"/>
      <c r="T967" s="2"/>
      <c r="U967" s="2"/>
      <c r="V967" s="2"/>
      <c r="W967" s="2"/>
      <c r="X967" s="2"/>
      <c r="Y967" s="2"/>
      <c r="Z967" s="1"/>
      <c r="AA967" s="1"/>
      <c r="AB967" s="1"/>
      <c r="AC967" s="1"/>
      <c r="AD967" s="1"/>
      <c r="AE967" s="1"/>
      <c r="AF967" s="1"/>
      <c r="AG967" s="1"/>
      <c r="AH967" s="1"/>
      <c r="AI967" s="1"/>
      <c r="AJ967" s="1"/>
      <c r="AK967" s="1"/>
    </row>
    <row r="968" ht="30.0" customHeight="1">
      <c r="A968" s="1"/>
      <c r="B968" s="1"/>
      <c r="C968" s="2"/>
      <c r="D968" s="2"/>
      <c r="E968" s="2"/>
      <c r="F968" s="2"/>
      <c r="G968" s="2"/>
      <c r="H968" s="2"/>
      <c r="I968" s="2"/>
      <c r="J968" s="2"/>
      <c r="K968" s="2"/>
      <c r="L968" s="2"/>
      <c r="M968" s="2"/>
      <c r="N968" s="1"/>
      <c r="O968" s="2"/>
      <c r="P968" s="2"/>
      <c r="Q968" s="2"/>
      <c r="R968" s="2"/>
      <c r="S968" s="2"/>
      <c r="T968" s="2"/>
      <c r="U968" s="2"/>
      <c r="V968" s="2"/>
      <c r="W968" s="2"/>
      <c r="X968" s="2"/>
      <c r="Y968" s="2"/>
      <c r="Z968" s="1"/>
      <c r="AA968" s="1"/>
      <c r="AB968" s="1"/>
      <c r="AC968" s="1"/>
      <c r="AD968" s="1"/>
      <c r="AE968" s="1"/>
      <c r="AF968" s="1"/>
      <c r="AG968" s="1"/>
      <c r="AH968" s="1"/>
      <c r="AI968" s="1"/>
      <c r="AJ968" s="1"/>
      <c r="AK968" s="1"/>
    </row>
    <row r="969" ht="30.0" customHeight="1">
      <c r="A969" s="1"/>
      <c r="B969" s="1"/>
      <c r="C969" s="2"/>
      <c r="D969" s="2"/>
      <c r="E969" s="2"/>
      <c r="F969" s="2"/>
      <c r="G969" s="2"/>
      <c r="H969" s="2"/>
      <c r="I969" s="2"/>
      <c r="J969" s="2"/>
      <c r="K969" s="2"/>
      <c r="L969" s="2"/>
      <c r="M969" s="2"/>
      <c r="N969" s="1"/>
      <c r="O969" s="2"/>
      <c r="P969" s="2"/>
      <c r="Q969" s="2"/>
      <c r="R969" s="2"/>
      <c r="S969" s="2"/>
      <c r="T969" s="2"/>
      <c r="U969" s="2"/>
      <c r="V969" s="2"/>
      <c r="W969" s="2"/>
      <c r="X969" s="2"/>
      <c r="Y969" s="2"/>
      <c r="Z969" s="1"/>
      <c r="AA969" s="1"/>
      <c r="AB969" s="1"/>
      <c r="AC969" s="1"/>
      <c r="AD969" s="1"/>
      <c r="AE969" s="1"/>
      <c r="AF969" s="1"/>
      <c r="AG969" s="1"/>
      <c r="AH969" s="1"/>
      <c r="AI969" s="1"/>
      <c r="AJ969" s="1"/>
      <c r="AK969" s="1"/>
    </row>
    <row r="970" ht="30.0" customHeight="1">
      <c r="A970" s="1"/>
      <c r="B970" s="1"/>
      <c r="C970" s="2"/>
      <c r="D970" s="2"/>
      <c r="E970" s="2"/>
      <c r="F970" s="2"/>
      <c r="G970" s="2"/>
      <c r="H970" s="2"/>
      <c r="I970" s="2"/>
      <c r="J970" s="2"/>
      <c r="K970" s="2"/>
      <c r="L970" s="2"/>
      <c r="M970" s="2"/>
      <c r="N970" s="1"/>
      <c r="O970" s="2"/>
      <c r="P970" s="2"/>
      <c r="Q970" s="2"/>
      <c r="R970" s="2"/>
      <c r="S970" s="2"/>
      <c r="T970" s="2"/>
      <c r="U970" s="2"/>
      <c r="V970" s="2"/>
      <c r="W970" s="2"/>
      <c r="X970" s="2"/>
      <c r="Y970" s="2"/>
      <c r="Z970" s="1"/>
      <c r="AA970" s="1"/>
      <c r="AB970" s="1"/>
      <c r="AC970" s="1"/>
      <c r="AD970" s="1"/>
      <c r="AE970" s="1"/>
      <c r="AF970" s="1"/>
      <c r="AG970" s="1"/>
      <c r="AH970" s="1"/>
      <c r="AI970" s="1"/>
      <c r="AJ970" s="1"/>
      <c r="AK970" s="1"/>
    </row>
    <row r="971" ht="30.0" customHeight="1">
      <c r="A971" s="1"/>
      <c r="B971" s="1"/>
      <c r="C971" s="2"/>
      <c r="D971" s="2"/>
      <c r="E971" s="2"/>
      <c r="F971" s="2"/>
      <c r="G971" s="2"/>
      <c r="H971" s="2"/>
      <c r="I971" s="2"/>
      <c r="J971" s="2"/>
      <c r="K971" s="2"/>
      <c r="L971" s="2"/>
      <c r="M971" s="2"/>
      <c r="N971" s="1"/>
      <c r="O971" s="2"/>
      <c r="P971" s="2"/>
      <c r="Q971" s="2"/>
      <c r="R971" s="2"/>
      <c r="S971" s="2"/>
      <c r="T971" s="2"/>
      <c r="U971" s="2"/>
      <c r="V971" s="2"/>
      <c r="W971" s="2"/>
      <c r="X971" s="2"/>
      <c r="Y971" s="2"/>
      <c r="Z971" s="1"/>
      <c r="AA971" s="1"/>
      <c r="AB971" s="1"/>
      <c r="AC971" s="1"/>
      <c r="AD971" s="1"/>
      <c r="AE971" s="1"/>
      <c r="AF971" s="1"/>
      <c r="AG971" s="1"/>
      <c r="AH971" s="1"/>
      <c r="AI971" s="1"/>
      <c r="AJ971" s="1"/>
      <c r="AK971" s="1"/>
    </row>
    <row r="972" ht="30.0" customHeight="1">
      <c r="A972" s="1"/>
      <c r="B972" s="1"/>
      <c r="C972" s="2"/>
      <c r="D972" s="2"/>
      <c r="E972" s="2"/>
      <c r="F972" s="2"/>
      <c r="G972" s="2"/>
      <c r="H972" s="2"/>
      <c r="I972" s="2"/>
      <c r="J972" s="2"/>
      <c r="K972" s="2"/>
      <c r="L972" s="2"/>
      <c r="M972" s="2"/>
      <c r="N972" s="1"/>
      <c r="O972" s="2"/>
      <c r="P972" s="2"/>
      <c r="Q972" s="2"/>
      <c r="R972" s="2"/>
      <c r="S972" s="2"/>
      <c r="T972" s="2"/>
      <c r="U972" s="2"/>
      <c r="V972" s="2"/>
      <c r="W972" s="2"/>
      <c r="X972" s="2"/>
      <c r="Y972" s="2"/>
      <c r="Z972" s="1"/>
      <c r="AA972" s="1"/>
      <c r="AB972" s="1"/>
      <c r="AC972" s="1"/>
      <c r="AD972" s="1"/>
      <c r="AE972" s="1"/>
      <c r="AF972" s="1"/>
      <c r="AG972" s="1"/>
      <c r="AH972" s="1"/>
      <c r="AI972" s="1"/>
      <c r="AJ972" s="1"/>
      <c r="AK972" s="1"/>
    </row>
    <row r="973" ht="30.0" customHeight="1">
      <c r="A973" s="1"/>
      <c r="B973" s="1"/>
      <c r="C973" s="2"/>
      <c r="D973" s="2"/>
      <c r="E973" s="2"/>
      <c r="F973" s="2"/>
      <c r="G973" s="2"/>
      <c r="H973" s="2"/>
      <c r="I973" s="2"/>
      <c r="J973" s="2"/>
      <c r="K973" s="2"/>
      <c r="L973" s="2"/>
      <c r="M973" s="2"/>
      <c r="N973" s="1"/>
      <c r="O973" s="2"/>
      <c r="P973" s="2"/>
      <c r="Q973" s="2"/>
      <c r="R973" s="2"/>
      <c r="S973" s="2"/>
      <c r="T973" s="2"/>
      <c r="U973" s="2"/>
      <c r="V973" s="2"/>
      <c r="W973" s="2"/>
      <c r="X973" s="2"/>
      <c r="Y973" s="2"/>
      <c r="Z973" s="1"/>
      <c r="AA973" s="1"/>
      <c r="AB973" s="1"/>
      <c r="AC973" s="1"/>
      <c r="AD973" s="1"/>
      <c r="AE973" s="1"/>
      <c r="AF973" s="1"/>
      <c r="AG973" s="1"/>
      <c r="AH973" s="1"/>
      <c r="AI973" s="1"/>
      <c r="AJ973" s="1"/>
      <c r="AK973" s="1"/>
    </row>
    <row r="974" ht="30.0" customHeight="1">
      <c r="A974" s="1"/>
      <c r="B974" s="1"/>
      <c r="C974" s="2"/>
      <c r="D974" s="2"/>
      <c r="E974" s="2"/>
      <c r="F974" s="2"/>
      <c r="G974" s="2"/>
      <c r="H974" s="2"/>
      <c r="I974" s="2"/>
      <c r="J974" s="2"/>
      <c r="K974" s="2"/>
      <c r="L974" s="2"/>
      <c r="M974" s="2"/>
      <c r="N974" s="1"/>
      <c r="O974" s="2"/>
      <c r="P974" s="2"/>
      <c r="Q974" s="2"/>
      <c r="R974" s="2"/>
      <c r="S974" s="2"/>
      <c r="T974" s="2"/>
      <c r="U974" s="2"/>
      <c r="V974" s="2"/>
      <c r="W974" s="2"/>
      <c r="X974" s="2"/>
      <c r="Y974" s="2"/>
      <c r="Z974" s="1"/>
      <c r="AA974" s="1"/>
      <c r="AB974" s="1"/>
      <c r="AC974" s="1"/>
      <c r="AD974" s="1"/>
      <c r="AE974" s="1"/>
      <c r="AF974" s="1"/>
      <c r="AG974" s="1"/>
      <c r="AH974" s="1"/>
      <c r="AI974" s="1"/>
      <c r="AJ974" s="1"/>
      <c r="AK974" s="1"/>
    </row>
    <row r="975" ht="30.0" customHeight="1">
      <c r="A975" s="1"/>
      <c r="B975" s="1"/>
      <c r="C975" s="2"/>
      <c r="D975" s="2"/>
      <c r="E975" s="2"/>
      <c r="F975" s="2"/>
      <c r="G975" s="2"/>
      <c r="H975" s="2"/>
      <c r="I975" s="2"/>
      <c r="J975" s="2"/>
      <c r="K975" s="2"/>
      <c r="L975" s="2"/>
      <c r="M975" s="2"/>
      <c r="N975" s="1"/>
      <c r="O975" s="2"/>
      <c r="P975" s="2"/>
      <c r="Q975" s="2"/>
      <c r="R975" s="2"/>
      <c r="S975" s="2"/>
      <c r="T975" s="2"/>
      <c r="U975" s="2"/>
      <c r="V975" s="2"/>
      <c r="W975" s="2"/>
      <c r="X975" s="2"/>
      <c r="Y975" s="2"/>
      <c r="Z975" s="1"/>
      <c r="AA975" s="1"/>
      <c r="AB975" s="1"/>
      <c r="AC975" s="1"/>
      <c r="AD975" s="1"/>
      <c r="AE975" s="1"/>
      <c r="AF975" s="1"/>
      <c r="AG975" s="1"/>
      <c r="AH975" s="1"/>
      <c r="AI975" s="1"/>
      <c r="AJ975" s="1"/>
      <c r="AK975" s="1"/>
    </row>
    <row r="976" ht="30.0" customHeight="1">
      <c r="A976" s="1"/>
      <c r="B976" s="1"/>
      <c r="C976" s="2"/>
      <c r="D976" s="2"/>
      <c r="E976" s="2"/>
      <c r="F976" s="2"/>
      <c r="G976" s="2"/>
      <c r="H976" s="2"/>
      <c r="I976" s="2"/>
      <c r="J976" s="2"/>
      <c r="K976" s="2"/>
      <c r="L976" s="2"/>
      <c r="M976" s="2"/>
      <c r="N976" s="1"/>
      <c r="O976" s="2"/>
      <c r="P976" s="2"/>
      <c r="Q976" s="2"/>
      <c r="R976" s="2"/>
      <c r="S976" s="2"/>
      <c r="T976" s="2"/>
      <c r="U976" s="2"/>
      <c r="V976" s="2"/>
      <c r="W976" s="2"/>
      <c r="X976" s="2"/>
      <c r="Y976" s="2"/>
      <c r="Z976" s="1"/>
      <c r="AA976" s="1"/>
      <c r="AB976" s="1"/>
      <c r="AC976" s="1"/>
      <c r="AD976" s="1"/>
      <c r="AE976" s="1"/>
      <c r="AF976" s="1"/>
      <c r="AG976" s="1"/>
      <c r="AH976" s="1"/>
      <c r="AI976" s="1"/>
      <c r="AJ976" s="1"/>
      <c r="AK976" s="1"/>
    </row>
    <row r="977" ht="30.0" customHeight="1">
      <c r="A977" s="1"/>
      <c r="B977" s="1"/>
      <c r="C977" s="2"/>
      <c r="D977" s="2"/>
      <c r="E977" s="2"/>
      <c r="F977" s="2"/>
      <c r="G977" s="2"/>
      <c r="H977" s="2"/>
      <c r="I977" s="2"/>
      <c r="J977" s="2"/>
      <c r="K977" s="2"/>
      <c r="L977" s="2"/>
      <c r="M977" s="2"/>
      <c r="N977" s="1"/>
      <c r="O977" s="2"/>
      <c r="P977" s="2"/>
      <c r="Q977" s="2"/>
      <c r="R977" s="2"/>
      <c r="S977" s="2"/>
      <c r="T977" s="2"/>
      <c r="U977" s="2"/>
      <c r="V977" s="2"/>
      <c r="W977" s="2"/>
      <c r="X977" s="2"/>
      <c r="Y977" s="2"/>
      <c r="Z977" s="1"/>
      <c r="AA977" s="1"/>
      <c r="AB977" s="1"/>
      <c r="AC977" s="1"/>
      <c r="AD977" s="1"/>
      <c r="AE977" s="1"/>
      <c r="AF977" s="1"/>
      <c r="AG977" s="1"/>
      <c r="AH977" s="1"/>
      <c r="AI977" s="1"/>
      <c r="AJ977" s="1"/>
      <c r="AK977" s="1"/>
    </row>
    <row r="978" ht="30.0" customHeight="1">
      <c r="A978" s="1"/>
      <c r="B978" s="1"/>
      <c r="C978" s="2"/>
      <c r="D978" s="2"/>
      <c r="E978" s="2"/>
      <c r="F978" s="2"/>
      <c r="G978" s="2"/>
      <c r="H978" s="2"/>
      <c r="I978" s="2"/>
      <c r="J978" s="2"/>
      <c r="K978" s="2"/>
      <c r="L978" s="2"/>
      <c r="M978" s="2"/>
      <c r="N978" s="1"/>
      <c r="O978" s="2"/>
      <c r="P978" s="2"/>
      <c r="Q978" s="2"/>
      <c r="R978" s="2"/>
      <c r="S978" s="2"/>
      <c r="T978" s="2"/>
      <c r="U978" s="2"/>
      <c r="V978" s="2"/>
      <c r="W978" s="2"/>
      <c r="X978" s="2"/>
      <c r="Y978" s="2"/>
      <c r="Z978" s="1"/>
      <c r="AA978" s="1"/>
      <c r="AB978" s="1"/>
      <c r="AC978" s="1"/>
      <c r="AD978" s="1"/>
      <c r="AE978" s="1"/>
      <c r="AF978" s="1"/>
      <c r="AG978" s="1"/>
      <c r="AH978" s="1"/>
      <c r="AI978" s="1"/>
      <c r="AJ978" s="1"/>
      <c r="AK978" s="1"/>
    </row>
    <row r="979" ht="30.0" customHeight="1">
      <c r="A979" s="1"/>
      <c r="B979" s="1"/>
      <c r="C979" s="2"/>
      <c r="D979" s="2"/>
      <c r="E979" s="2"/>
      <c r="F979" s="2"/>
      <c r="G979" s="2"/>
      <c r="H979" s="2"/>
      <c r="I979" s="2"/>
      <c r="J979" s="2"/>
      <c r="K979" s="2"/>
      <c r="L979" s="2"/>
      <c r="M979" s="2"/>
      <c r="N979" s="1"/>
      <c r="O979" s="2"/>
      <c r="P979" s="2"/>
      <c r="Q979" s="2"/>
      <c r="R979" s="2"/>
      <c r="S979" s="2"/>
      <c r="T979" s="2"/>
      <c r="U979" s="2"/>
      <c r="V979" s="2"/>
      <c r="W979" s="2"/>
      <c r="X979" s="2"/>
      <c r="Y979" s="2"/>
      <c r="Z979" s="1"/>
      <c r="AA979" s="1"/>
      <c r="AB979" s="1"/>
      <c r="AC979" s="1"/>
      <c r="AD979" s="1"/>
      <c r="AE979" s="1"/>
      <c r="AF979" s="1"/>
      <c r="AG979" s="1"/>
      <c r="AH979" s="1"/>
      <c r="AI979" s="1"/>
      <c r="AJ979" s="1"/>
      <c r="AK979" s="1"/>
    </row>
    <row r="980" ht="30.0" customHeight="1">
      <c r="A980" s="1"/>
      <c r="B980" s="1"/>
      <c r="C980" s="2"/>
      <c r="D980" s="2"/>
      <c r="E980" s="2"/>
      <c r="F980" s="2"/>
      <c r="G980" s="2"/>
      <c r="H980" s="2"/>
      <c r="I980" s="2"/>
      <c r="J980" s="2"/>
      <c r="K980" s="2"/>
      <c r="L980" s="2"/>
      <c r="M980" s="2"/>
      <c r="N980" s="1"/>
      <c r="O980" s="2"/>
      <c r="P980" s="2"/>
      <c r="Q980" s="2"/>
      <c r="R980" s="2"/>
      <c r="S980" s="2"/>
      <c r="T980" s="2"/>
      <c r="U980" s="2"/>
      <c r="V980" s="2"/>
      <c r="W980" s="2"/>
      <c r="X980" s="2"/>
      <c r="Y980" s="2"/>
      <c r="Z980" s="1"/>
      <c r="AA980" s="1"/>
      <c r="AB980" s="1"/>
      <c r="AC980" s="1"/>
      <c r="AD980" s="1"/>
      <c r="AE980" s="1"/>
      <c r="AF980" s="1"/>
      <c r="AG980" s="1"/>
      <c r="AH980" s="1"/>
      <c r="AI980" s="1"/>
      <c r="AJ980" s="1"/>
      <c r="AK980" s="1"/>
    </row>
    <row r="981" ht="30.0" customHeight="1">
      <c r="A981" s="1"/>
      <c r="B981" s="1"/>
      <c r="C981" s="2"/>
      <c r="D981" s="2"/>
      <c r="E981" s="2"/>
      <c r="F981" s="2"/>
      <c r="G981" s="2"/>
      <c r="H981" s="2"/>
      <c r="I981" s="2"/>
      <c r="J981" s="2"/>
      <c r="K981" s="2"/>
      <c r="L981" s="2"/>
      <c r="M981" s="2"/>
      <c r="N981" s="1"/>
      <c r="O981" s="2"/>
      <c r="P981" s="2"/>
      <c r="Q981" s="2"/>
      <c r="R981" s="2"/>
      <c r="S981" s="2"/>
      <c r="T981" s="2"/>
      <c r="U981" s="2"/>
      <c r="V981" s="2"/>
      <c r="W981" s="2"/>
      <c r="X981" s="2"/>
      <c r="Y981" s="2"/>
      <c r="Z981" s="1"/>
      <c r="AA981" s="1"/>
      <c r="AB981" s="1"/>
      <c r="AC981" s="1"/>
      <c r="AD981" s="1"/>
      <c r="AE981" s="1"/>
      <c r="AF981" s="1"/>
      <c r="AG981" s="1"/>
      <c r="AH981" s="1"/>
      <c r="AI981" s="1"/>
      <c r="AJ981" s="1"/>
      <c r="AK981" s="1"/>
    </row>
    <row r="982" ht="30.0" customHeight="1">
      <c r="A982" s="1"/>
      <c r="B982" s="1"/>
      <c r="C982" s="2"/>
      <c r="D982" s="2"/>
      <c r="E982" s="2"/>
      <c r="F982" s="2"/>
      <c r="G982" s="2"/>
      <c r="H982" s="2"/>
      <c r="I982" s="2"/>
      <c r="J982" s="2"/>
      <c r="K982" s="2"/>
      <c r="L982" s="2"/>
      <c r="M982" s="2"/>
      <c r="N982" s="1"/>
      <c r="O982" s="2"/>
      <c r="P982" s="2"/>
      <c r="Q982" s="2"/>
      <c r="R982" s="2"/>
      <c r="S982" s="2"/>
      <c r="T982" s="2"/>
      <c r="U982" s="2"/>
      <c r="V982" s="2"/>
      <c r="W982" s="2"/>
      <c r="X982" s="2"/>
      <c r="Y982" s="2"/>
      <c r="Z982" s="1"/>
      <c r="AA982" s="1"/>
      <c r="AB982" s="1"/>
      <c r="AC982" s="1"/>
      <c r="AD982" s="1"/>
      <c r="AE982" s="1"/>
      <c r="AF982" s="1"/>
      <c r="AG982" s="1"/>
      <c r="AH982" s="1"/>
      <c r="AI982" s="1"/>
      <c r="AJ982" s="1"/>
      <c r="AK982" s="1"/>
    </row>
    <row r="983" ht="30.0" customHeight="1">
      <c r="A983" s="1"/>
      <c r="B983" s="1"/>
      <c r="C983" s="2"/>
      <c r="D983" s="2"/>
      <c r="E983" s="2"/>
      <c r="F983" s="2"/>
      <c r="G983" s="2"/>
      <c r="H983" s="2"/>
      <c r="I983" s="2"/>
      <c r="J983" s="2"/>
      <c r="K983" s="2"/>
      <c r="L983" s="2"/>
      <c r="M983" s="2"/>
      <c r="N983" s="1"/>
      <c r="O983" s="2"/>
      <c r="P983" s="2"/>
      <c r="Q983" s="2"/>
      <c r="R983" s="2"/>
      <c r="S983" s="2"/>
      <c r="T983" s="2"/>
      <c r="U983" s="2"/>
      <c r="V983" s="2"/>
      <c r="W983" s="2"/>
      <c r="X983" s="2"/>
      <c r="Y983" s="2"/>
      <c r="Z983" s="1"/>
      <c r="AA983" s="1"/>
      <c r="AB983" s="1"/>
      <c r="AC983" s="1"/>
      <c r="AD983" s="1"/>
      <c r="AE983" s="1"/>
      <c r="AF983" s="1"/>
      <c r="AG983" s="1"/>
      <c r="AH983" s="1"/>
      <c r="AI983" s="1"/>
      <c r="AJ983" s="1"/>
      <c r="AK983" s="1"/>
    </row>
    <row r="984" ht="30.0" customHeight="1">
      <c r="A984" s="1"/>
      <c r="B984" s="1"/>
      <c r="C984" s="2"/>
      <c r="D984" s="2"/>
      <c r="E984" s="2"/>
      <c r="F984" s="2"/>
      <c r="G984" s="2"/>
      <c r="H984" s="2"/>
      <c r="I984" s="2"/>
      <c r="J984" s="2"/>
      <c r="K984" s="2"/>
      <c r="L984" s="2"/>
      <c r="M984" s="2"/>
      <c r="N984" s="1"/>
      <c r="O984" s="2"/>
      <c r="P984" s="2"/>
      <c r="Q984" s="2"/>
      <c r="R984" s="2"/>
      <c r="S984" s="2"/>
      <c r="T984" s="2"/>
      <c r="U984" s="2"/>
      <c r="V984" s="2"/>
      <c r="W984" s="2"/>
      <c r="X984" s="2"/>
      <c r="Y984" s="2"/>
      <c r="Z984" s="1"/>
      <c r="AA984" s="1"/>
      <c r="AB984" s="1"/>
      <c r="AC984" s="1"/>
      <c r="AD984" s="1"/>
      <c r="AE984" s="1"/>
      <c r="AF984" s="1"/>
      <c r="AG984" s="1"/>
      <c r="AH984" s="1"/>
      <c r="AI984" s="1"/>
      <c r="AJ984" s="1"/>
      <c r="AK984" s="1"/>
    </row>
    <row r="985" ht="30.0" customHeight="1">
      <c r="A985" s="1"/>
      <c r="B985" s="1"/>
      <c r="C985" s="2"/>
      <c r="D985" s="2"/>
      <c r="E985" s="2"/>
      <c r="F985" s="2"/>
      <c r="G985" s="2"/>
      <c r="H985" s="2"/>
      <c r="I985" s="2"/>
      <c r="J985" s="2"/>
      <c r="K985" s="2"/>
      <c r="L985" s="2"/>
      <c r="M985" s="2"/>
      <c r="N985" s="1"/>
      <c r="O985" s="2"/>
      <c r="P985" s="2"/>
      <c r="Q985" s="2"/>
      <c r="R985" s="2"/>
      <c r="S985" s="2"/>
      <c r="T985" s="2"/>
      <c r="U985" s="2"/>
      <c r="V985" s="2"/>
      <c r="W985" s="2"/>
      <c r="X985" s="2"/>
      <c r="Y985" s="2"/>
      <c r="Z985" s="1"/>
      <c r="AA985" s="1"/>
      <c r="AB985" s="1"/>
      <c r="AC985" s="1"/>
      <c r="AD985" s="1"/>
      <c r="AE985" s="1"/>
      <c r="AF985" s="1"/>
      <c r="AG985" s="1"/>
      <c r="AH985" s="1"/>
      <c r="AI985" s="1"/>
      <c r="AJ985" s="1"/>
      <c r="AK985" s="1"/>
    </row>
    <row r="986" ht="30.0" customHeight="1">
      <c r="A986" s="1"/>
      <c r="B986" s="1"/>
      <c r="C986" s="2"/>
      <c r="D986" s="2"/>
      <c r="E986" s="2"/>
      <c r="F986" s="2"/>
      <c r="G986" s="2"/>
      <c r="H986" s="2"/>
      <c r="I986" s="2"/>
      <c r="J986" s="2"/>
      <c r="K986" s="2"/>
      <c r="L986" s="2"/>
      <c r="M986" s="2"/>
      <c r="N986" s="1"/>
      <c r="O986" s="2"/>
      <c r="P986" s="2"/>
      <c r="Q986" s="2"/>
      <c r="R986" s="2"/>
      <c r="S986" s="2"/>
      <c r="T986" s="2"/>
      <c r="U986" s="2"/>
      <c r="V986" s="2"/>
      <c r="W986" s="2"/>
      <c r="X986" s="2"/>
      <c r="Y986" s="2"/>
      <c r="Z986" s="1"/>
      <c r="AA986" s="1"/>
      <c r="AB986" s="1"/>
      <c r="AC986" s="1"/>
      <c r="AD986" s="1"/>
      <c r="AE986" s="1"/>
      <c r="AF986" s="1"/>
      <c r="AG986" s="1"/>
      <c r="AH986" s="1"/>
      <c r="AI986" s="1"/>
      <c r="AJ986" s="1"/>
      <c r="AK986" s="1"/>
    </row>
    <row r="987" ht="30.0" customHeight="1">
      <c r="A987" s="1"/>
      <c r="B987" s="1"/>
      <c r="C987" s="2"/>
      <c r="D987" s="2"/>
      <c r="E987" s="2"/>
      <c r="F987" s="2"/>
      <c r="G987" s="2"/>
      <c r="H987" s="2"/>
      <c r="I987" s="2"/>
      <c r="J987" s="2"/>
      <c r="K987" s="2"/>
      <c r="L987" s="2"/>
      <c r="M987" s="2"/>
      <c r="N987" s="1"/>
      <c r="O987" s="2"/>
      <c r="P987" s="2"/>
      <c r="Q987" s="2"/>
      <c r="R987" s="2"/>
      <c r="S987" s="2"/>
      <c r="T987" s="2"/>
      <c r="U987" s="2"/>
      <c r="V987" s="2"/>
      <c r="W987" s="2"/>
      <c r="X987" s="2"/>
      <c r="Y987" s="2"/>
      <c r="Z987" s="1"/>
      <c r="AA987" s="1"/>
      <c r="AB987" s="1"/>
      <c r="AC987" s="1"/>
      <c r="AD987" s="1"/>
      <c r="AE987" s="1"/>
      <c r="AF987" s="1"/>
      <c r="AG987" s="1"/>
      <c r="AH987" s="1"/>
      <c r="AI987" s="1"/>
      <c r="AJ987" s="1"/>
      <c r="AK987" s="1"/>
    </row>
    <row r="988" ht="30.0" customHeight="1">
      <c r="A988" s="1"/>
      <c r="B988" s="1"/>
      <c r="C988" s="2"/>
      <c r="D988" s="2"/>
      <c r="E988" s="2"/>
      <c r="F988" s="2"/>
      <c r="G988" s="2"/>
      <c r="H988" s="2"/>
      <c r="I988" s="2"/>
      <c r="J988" s="2"/>
      <c r="K988" s="2"/>
      <c r="L988" s="2"/>
      <c r="M988" s="2"/>
      <c r="N988" s="1"/>
      <c r="O988" s="2"/>
      <c r="P988" s="2"/>
      <c r="Q988" s="2"/>
      <c r="R988" s="2"/>
      <c r="S988" s="2"/>
      <c r="T988" s="2"/>
      <c r="U988" s="2"/>
      <c r="V988" s="2"/>
      <c r="W988" s="2"/>
      <c r="X988" s="2"/>
      <c r="Y988" s="2"/>
      <c r="Z988" s="1"/>
      <c r="AA988" s="1"/>
      <c r="AB988" s="1"/>
      <c r="AC988" s="1"/>
      <c r="AD988" s="1"/>
      <c r="AE988" s="1"/>
      <c r="AF988" s="1"/>
      <c r="AG988" s="1"/>
      <c r="AH988" s="1"/>
      <c r="AI988" s="1"/>
      <c r="AJ988" s="1"/>
      <c r="AK988" s="1"/>
    </row>
    <row r="989" ht="30.0" customHeight="1">
      <c r="A989" s="1"/>
      <c r="B989" s="1"/>
      <c r="C989" s="2"/>
      <c r="D989" s="2"/>
      <c r="E989" s="2"/>
      <c r="F989" s="2"/>
      <c r="G989" s="2"/>
      <c r="H989" s="2"/>
      <c r="I989" s="2"/>
      <c r="J989" s="2"/>
      <c r="K989" s="2"/>
      <c r="L989" s="2"/>
      <c r="M989" s="2"/>
      <c r="N989" s="1"/>
      <c r="O989" s="2"/>
      <c r="P989" s="2"/>
      <c r="Q989" s="2"/>
      <c r="R989" s="2"/>
      <c r="S989" s="2"/>
      <c r="T989" s="2"/>
      <c r="U989" s="2"/>
      <c r="V989" s="2"/>
      <c r="W989" s="2"/>
      <c r="X989" s="2"/>
      <c r="Y989" s="2"/>
      <c r="Z989" s="1"/>
      <c r="AA989" s="1"/>
      <c r="AB989" s="1"/>
      <c r="AC989" s="1"/>
      <c r="AD989" s="1"/>
      <c r="AE989" s="1"/>
      <c r="AF989" s="1"/>
      <c r="AG989" s="1"/>
      <c r="AH989" s="1"/>
      <c r="AI989" s="1"/>
      <c r="AJ989" s="1"/>
      <c r="AK989" s="1"/>
    </row>
    <row r="990" ht="30.0" customHeight="1">
      <c r="A990" s="1"/>
      <c r="B990" s="1"/>
      <c r="C990" s="2"/>
      <c r="D990" s="2"/>
      <c r="E990" s="2"/>
      <c r="F990" s="2"/>
      <c r="G990" s="2"/>
      <c r="H990" s="2"/>
      <c r="I990" s="2"/>
      <c r="J990" s="2"/>
      <c r="K990" s="2"/>
      <c r="L990" s="2"/>
      <c r="M990" s="2"/>
      <c r="N990" s="1"/>
      <c r="O990" s="2"/>
      <c r="P990" s="2"/>
      <c r="Q990" s="2"/>
      <c r="R990" s="2"/>
      <c r="S990" s="2"/>
      <c r="T990" s="2"/>
      <c r="U990" s="2"/>
      <c r="V990" s="2"/>
      <c r="W990" s="2"/>
      <c r="X990" s="2"/>
      <c r="Y990" s="2"/>
      <c r="Z990" s="1"/>
      <c r="AA990" s="1"/>
      <c r="AB990" s="1"/>
      <c r="AC990" s="1"/>
      <c r="AD990" s="1"/>
      <c r="AE990" s="1"/>
      <c r="AF990" s="1"/>
      <c r="AG990" s="1"/>
      <c r="AH990" s="1"/>
      <c r="AI990" s="1"/>
      <c r="AJ990" s="1"/>
      <c r="AK990" s="1"/>
    </row>
    <row r="991" ht="30.0" customHeight="1">
      <c r="A991" s="1"/>
      <c r="B991" s="1"/>
      <c r="C991" s="2"/>
      <c r="D991" s="2"/>
      <c r="E991" s="2"/>
      <c r="F991" s="2"/>
      <c r="G991" s="2"/>
      <c r="H991" s="2"/>
      <c r="I991" s="2"/>
      <c r="J991" s="2"/>
      <c r="K991" s="2"/>
      <c r="L991" s="2"/>
      <c r="M991" s="2"/>
      <c r="N991" s="1"/>
      <c r="O991" s="2"/>
      <c r="P991" s="2"/>
      <c r="Q991" s="2"/>
      <c r="R991" s="2"/>
      <c r="S991" s="2"/>
      <c r="T991" s="2"/>
      <c r="U991" s="2"/>
      <c r="V991" s="2"/>
      <c r="W991" s="2"/>
      <c r="X991" s="2"/>
      <c r="Y991" s="2"/>
      <c r="Z991" s="1"/>
      <c r="AA991" s="1"/>
      <c r="AB991" s="1"/>
      <c r="AC991" s="1"/>
      <c r="AD991" s="1"/>
      <c r="AE991" s="1"/>
      <c r="AF991" s="1"/>
      <c r="AG991" s="1"/>
      <c r="AH991" s="1"/>
      <c r="AI991" s="1"/>
      <c r="AJ991" s="1"/>
      <c r="AK991" s="1"/>
    </row>
    <row r="992" ht="30.0" customHeight="1">
      <c r="A992" s="1"/>
      <c r="B992" s="1"/>
      <c r="C992" s="2"/>
      <c r="D992" s="2"/>
      <c r="E992" s="2"/>
      <c r="F992" s="2"/>
      <c r="G992" s="2"/>
      <c r="H992" s="2"/>
      <c r="I992" s="2"/>
      <c r="J992" s="2"/>
      <c r="K992" s="2"/>
      <c r="L992" s="2"/>
      <c r="M992" s="2"/>
      <c r="N992" s="1"/>
      <c r="O992" s="2"/>
      <c r="P992" s="2"/>
      <c r="Q992" s="2"/>
      <c r="R992" s="2"/>
      <c r="S992" s="2"/>
      <c r="T992" s="2"/>
      <c r="U992" s="2"/>
      <c r="V992" s="2"/>
      <c r="W992" s="2"/>
      <c r="X992" s="2"/>
      <c r="Y992" s="2"/>
      <c r="Z992" s="1"/>
      <c r="AA992" s="1"/>
      <c r="AB992" s="1"/>
      <c r="AC992" s="1"/>
      <c r="AD992" s="1"/>
      <c r="AE992" s="1"/>
      <c r="AF992" s="1"/>
      <c r="AG992" s="1"/>
      <c r="AH992" s="1"/>
      <c r="AI992" s="1"/>
      <c r="AJ992" s="1"/>
      <c r="AK992" s="1"/>
    </row>
    <row r="993" ht="30.0" customHeight="1">
      <c r="A993" s="1"/>
      <c r="B993" s="1"/>
      <c r="C993" s="2"/>
      <c r="D993" s="2"/>
      <c r="E993" s="2"/>
      <c r="F993" s="2"/>
      <c r="G993" s="2"/>
      <c r="H993" s="2"/>
      <c r="I993" s="2"/>
      <c r="J993" s="2"/>
      <c r="K993" s="2"/>
      <c r="L993" s="2"/>
      <c r="M993" s="2"/>
      <c r="N993" s="1"/>
      <c r="O993" s="2"/>
      <c r="P993" s="2"/>
      <c r="Q993" s="2"/>
      <c r="R993" s="2"/>
      <c r="S993" s="2"/>
      <c r="T993" s="2"/>
      <c r="U993" s="2"/>
      <c r="V993" s="2"/>
      <c r="W993" s="2"/>
      <c r="X993" s="2"/>
      <c r="Y993" s="2"/>
      <c r="Z993" s="1"/>
      <c r="AA993" s="1"/>
      <c r="AB993" s="1"/>
      <c r="AC993" s="1"/>
      <c r="AD993" s="1"/>
      <c r="AE993" s="1"/>
      <c r="AF993" s="1"/>
      <c r="AG993" s="1"/>
      <c r="AH993" s="1"/>
      <c r="AI993" s="1"/>
      <c r="AJ993" s="1"/>
      <c r="AK993" s="1"/>
    </row>
    <row r="994" ht="30.0" customHeight="1">
      <c r="A994" s="1"/>
      <c r="B994" s="1"/>
      <c r="C994" s="2"/>
      <c r="D994" s="2"/>
      <c r="E994" s="2"/>
      <c r="F994" s="2"/>
      <c r="G994" s="2"/>
      <c r="H994" s="2"/>
      <c r="I994" s="2"/>
      <c r="J994" s="2"/>
      <c r="K994" s="2"/>
      <c r="L994" s="2"/>
      <c r="M994" s="2"/>
      <c r="N994" s="1"/>
      <c r="O994" s="2"/>
      <c r="P994" s="2"/>
      <c r="Q994" s="2"/>
      <c r="R994" s="2"/>
      <c r="S994" s="2"/>
      <c r="T994" s="2"/>
      <c r="U994" s="2"/>
      <c r="V994" s="2"/>
      <c r="W994" s="2"/>
      <c r="X994" s="2"/>
      <c r="Y994" s="2"/>
      <c r="Z994" s="1"/>
      <c r="AA994" s="1"/>
      <c r="AB994" s="1"/>
      <c r="AC994" s="1"/>
      <c r="AD994" s="1"/>
      <c r="AE994" s="1"/>
      <c r="AF994" s="1"/>
      <c r="AG994" s="1"/>
      <c r="AH994" s="1"/>
      <c r="AI994" s="1"/>
      <c r="AJ994" s="1"/>
      <c r="AK994" s="1"/>
    </row>
    <row r="995" ht="30.0" customHeight="1">
      <c r="A995" s="1"/>
      <c r="B995" s="1"/>
      <c r="C995" s="2"/>
      <c r="D995" s="2"/>
      <c r="E995" s="2"/>
      <c r="F995" s="2"/>
      <c r="G995" s="2"/>
      <c r="H995" s="2"/>
      <c r="I995" s="2"/>
      <c r="J995" s="2"/>
      <c r="K995" s="2"/>
      <c r="L995" s="2"/>
      <c r="M995" s="2"/>
      <c r="N995" s="1"/>
      <c r="O995" s="2"/>
      <c r="P995" s="2"/>
      <c r="Q995" s="2"/>
      <c r="R995" s="2"/>
      <c r="S995" s="2"/>
      <c r="T995" s="2"/>
      <c r="U995" s="2"/>
      <c r="V995" s="2"/>
      <c r="W995" s="2"/>
      <c r="X995" s="2"/>
      <c r="Y995" s="2"/>
      <c r="Z995" s="1"/>
      <c r="AA995" s="1"/>
      <c r="AB995" s="1"/>
      <c r="AC995" s="1"/>
      <c r="AD995" s="1"/>
      <c r="AE995" s="1"/>
      <c r="AF995" s="1"/>
      <c r="AG995" s="1"/>
      <c r="AH995" s="1"/>
      <c r="AI995" s="1"/>
      <c r="AJ995" s="1"/>
      <c r="AK995" s="1"/>
    </row>
    <row r="996" ht="30.0" customHeight="1">
      <c r="A996" s="1"/>
      <c r="B996" s="1"/>
      <c r="C996" s="2"/>
      <c r="D996" s="2"/>
      <c r="E996" s="2"/>
      <c r="F996" s="2"/>
      <c r="G996" s="2"/>
      <c r="H996" s="2"/>
      <c r="I996" s="2"/>
      <c r="J996" s="2"/>
      <c r="K996" s="2"/>
      <c r="L996" s="2"/>
      <c r="M996" s="2"/>
      <c r="N996" s="1"/>
      <c r="O996" s="2"/>
      <c r="P996" s="2"/>
      <c r="Q996" s="2"/>
      <c r="R996" s="2"/>
      <c r="S996" s="2"/>
      <c r="T996" s="2"/>
      <c r="U996" s="2"/>
      <c r="V996" s="2"/>
      <c r="W996" s="2"/>
      <c r="X996" s="2"/>
      <c r="Y996" s="2"/>
      <c r="Z996" s="1"/>
      <c r="AA996" s="1"/>
      <c r="AB996" s="1"/>
      <c r="AC996" s="1"/>
      <c r="AD996" s="1"/>
      <c r="AE996" s="1"/>
      <c r="AF996" s="1"/>
      <c r="AG996" s="1"/>
      <c r="AH996" s="1"/>
      <c r="AI996" s="1"/>
      <c r="AJ996" s="1"/>
      <c r="AK996" s="1"/>
    </row>
    <row r="997" ht="30.0" customHeight="1">
      <c r="A997" s="1"/>
      <c r="B997" s="1"/>
      <c r="C997" s="2"/>
      <c r="D997" s="2"/>
      <c r="E997" s="2"/>
      <c r="F997" s="2"/>
      <c r="G997" s="2"/>
      <c r="H997" s="2"/>
      <c r="I997" s="2"/>
      <c r="J997" s="2"/>
      <c r="K997" s="2"/>
      <c r="L997" s="2"/>
      <c r="M997" s="2"/>
      <c r="N997" s="1"/>
      <c r="O997" s="2"/>
      <c r="P997" s="2"/>
      <c r="Q997" s="2"/>
      <c r="R997" s="2"/>
      <c r="S997" s="2"/>
      <c r="T997" s="2"/>
      <c r="U997" s="2"/>
      <c r="V997" s="2"/>
      <c r="W997" s="2"/>
      <c r="X997" s="2"/>
      <c r="Y997" s="2"/>
      <c r="Z997" s="1"/>
      <c r="AA997" s="1"/>
      <c r="AB997" s="1"/>
      <c r="AC997" s="1"/>
      <c r="AD997" s="1"/>
      <c r="AE997" s="1"/>
      <c r="AF997" s="1"/>
      <c r="AG997" s="1"/>
      <c r="AH997" s="1"/>
      <c r="AI997" s="1"/>
      <c r="AJ997" s="1"/>
      <c r="AK997" s="1"/>
    </row>
    <row r="998" ht="30.0" customHeight="1">
      <c r="A998" s="1"/>
      <c r="B998" s="1"/>
      <c r="C998" s="2"/>
      <c r="D998" s="2"/>
      <c r="E998" s="2"/>
      <c r="F998" s="2"/>
      <c r="G998" s="2"/>
      <c r="H998" s="2"/>
      <c r="I998" s="2"/>
      <c r="J998" s="2"/>
      <c r="K998" s="2"/>
      <c r="L998" s="2"/>
      <c r="M998" s="2"/>
      <c r="N998" s="1"/>
      <c r="O998" s="2"/>
      <c r="P998" s="2"/>
      <c r="Q998" s="2"/>
      <c r="R998" s="2"/>
      <c r="S998" s="2"/>
      <c r="T998" s="2"/>
      <c r="U998" s="2"/>
      <c r="V998" s="2"/>
      <c r="W998" s="2"/>
      <c r="X998" s="2"/>
      <c r="Y998" s="2"/>
      <c r="Z998" s="1"/>
      <c r="AA998" s="1"/>
      <c r="AB998" s="1"/>
      <c r="AC998" s="1"/>
      <c r="AD998" s="1"/>
      <c r="AE998" s="1"/>
      <c r="AF998" s="1"/>
      <c r="AG998" s="1"/>
      <c r="AH998" s="1"/>
      <c r="AI998" s="1"/>
      <c r="AJ998" s="1"/>
      <c r="AK998" s="1"/>
    </row>
    <row r="999" ht="30.0" customHeight="1">
      <c r="A999" s="1"/>
      <c r="B999" s="1"/>
      <c r="C999" s="2"/>
      <c r="D999" s="2"/>
      <c r="E999" s="2"/>
      <c r="F999" s="2"/>
      <c r="G999" s="2"/>
      <c r="H999" s="2"/>
      <c r="I999" s="2"/>
      <c r="J999" s="2"/>
      <c r="K999" s="2"/>
      <c r="L999" s="2"/>
      <c r="M999" s="2"/>
      <c r="N999" s="1"/>
      <c r="O999" s="2"/>
      <c r="P999" s="2"/>
      <c r="Q999" s="2"/>
      <c r="R999" s="2"/>
      <c r="S999" s="2"/>
      <c r="T999" s="2"/>
      <c r="U999" s="2"/>
      <c r="V999" s="2"/>
      <c r="W999" s="2"/>
      <c r="X999" s="2"/>
      <c r="Y999" s="2"/>
      <c r="Z999" s="1"/>
      <c r="AA999" s="1"/>
      <c r="AB999" s="1"/>
      <c r="AC999" s="1"/>
      <c r="AD999" s="1"/>
      <c r="AE999" s="1"/>
      <c r="AF999" s="1"/>
      <c r="AG999" s="1"/>
      <c r="AH999" s="1"/>
      <c r="AI999" s="1"/>
      <c r="AJ999" s="1"/>
      <c r="AK999" s="1"/>
    </row>
    <row r="1000" ht="30.0" customHeight="1">
      <c r="A1000" s="1"/>
      <c r="B1000" s="1"/>
      <c r="C1000" s="2"/>
      <c r="D1000" s="2"/>
      <c r="E1000" s="2"/>
      <c r="F1000" s="2"/>
      <c r="G1000" s="2"/>
      <c r="H1000" s="2"/>
      <c r="I1000" s="2"/>
      <c r="J1000" s="2"/>
      <c r="K1000" s="2"/>
      <c r="L1000" s="2"/>
      <c r="M1000" s="2"/>
      <c r="N1000" s="1"/>
      <c r="O1000" s="2"/>
      <c r="P1000" s="2"/>
      <c r="Q1000" s="2"/>
      <c r="R1000" s="2"/>
      <c r="S1000" s="2"/>
      <c r="T1000" s="2"/>
      <c r="U1000" s="2"/>
      <c r="V1000" s="2"/>
      <c r="W1000" s="2"/>
      <c r="X1000" s="2"/>
      <c r="Y1000" s="2"/>
      <c r="Z1000" s="1"/>
      <c r="AA1000" s="1"/>
      <c r="AB1000" s="1"/>
      <c r="AC1000" s="1"/>
      <c r="AD1000" s="1"/>
      <c r="AE1000" s="1"/>
      <c r="AF1000" s="1"/>
      <c r="AG1000" s="1"/>
      <c r="AH1000" s="1"/>
      <c r="AI1000" s="1"/>
      <c r="AJ1000" s="1"/>
      <c r="AK1000" s="1"/>
    </row>
  </sheetData>
  <mergeCells count="245">
    <mergeCell ref="X35:X36"/>
    <mergeCell ref="Y35:Y36"/>
    <mergeCell ref="Y41:Y44"/>
    <mergeCell ref="Y45:Y48"/>
    <mergeCell ref="Y49:Y53"/>
    <mergeCell ref="Y58:Y62"/>
    <mergeCell ref="AA35:AA62"/>
    <mergeCell ref="AB35:AC36"/>
    <mergeCell ref="AB41:AC44"/>
    <mergeCell ref="AB45:AC48"/>
    <mergeCell ref="AB49:AC53"/>
    <mergeCell ref="AB58:AC62"/>
    <mergeCell ref="AD35:AD36"/>
    <mergeCell ref="AE35:AE36"/>
    <mergeCell ref="AD45:AD48"/>
    <mergeCell ref="AD49:AD53"/>
    <mergeCell ref="AH35:AH36"/>
    <mergeCell ref="AI35:AI36"/>
    <mergeCell ref="AI37:AI40"/>
    <mergeCell ref="AJ37:AJ40"/>
    <mergeCell ref="AK37:AK40"/>
    <mergeCell ref="AJ35:AJ36"/>
    <mergeCell ref="AK35:AK36"/>
    <mergeCell ref="AK41:AK48"/>
    <mergeCell ref="AJ45:AJ48"/>
    <mergeCell ref="AF35:AF36"/>
    <mergeCell ref="AG35:AG36"/>
    <mergeCell ref="AG41:AG44"/>
    <mergeCell ref="AH41:AH44"/>
    <mergeCell ref="AI41:AI44"/>
    <mergeCell ref="AJ41:AJ44"/>
    <mergeCell ref="AG45:AG48"/>
    <mergeCell ref="AG58:AG62"/>
    <mergeCell ref="AH58:AH62"/>
    <mergeCell ref="AI58:AI62"/>
    <mergeCell ref="AJ58:AJ62"/>
    <mergeCell ref="AH45:AH48"/>
    <mergeCell ref="AI45:AI48"/>
    <mergeCell ref="AG49:AG53"/>
    <mergeCell ref="AH49:AH53"/>
    <mergeCell ref="AI49:AI53"/>
    <mergeCell ref="AJ49:AJ53"/>
    <mergeCell ref="AK49:AK53"/>
    <mergeCell ref="AK54:AK62"/>
    <mergeCell ref="R58:R62"/>
    <mergeCell ref="U58:U62"/>
    <mergeCell ref="V58:V62"/>
    <mergeCell ref="W58:W62"/>
    <mergeCell ref="V75:V77"/>
    <mergeCell ref="W75:W77"/>
    <mergeCell ref="N4:N77"/>
    <mergeCell ref="O4:Y4"/>
    <mergeCell ref="Z4:Z77"/>
    <mergeCell ref="AA4:AK4"/>
    <mergeCell ref="P5:Y5"/>
    <mergeCell ref="AB7:AK7"/>
    <mergeCell ref="O18:Y18"/>
    <mergeCell ref="Y75:Y77"/>
    <mergeCell ref="P63:Q66"/>
    <mergeCell ref="R63:R66"/>
    <mergeCell ref="U63:U66"/>
    <mergeCell ref="V63:V66"/>
    <mergeCell ref="W63:W66"/>
    <mergeCell ref="Y63:Y66"/>
    <mergeCell ref="P67:Q71"/>
    <mergeCell ref="R67:R71"/>
    <mergeCell ref="U67:U71"/>
    <mergeCell ref="V67:V71"/>
    <mergeCell ref="W67:W71"/>
    <mergeCell ref="Y67:Y71"/>
    <mergeCell ref="P72:Q74"/>
    <mergeCell ref="R72:R77"/>
    <mergeCell ref="U72:U74"/>
    <mergeCell ref="U75:U77"/>
    <mergeCell ref="X45:X77"/>
    <mergeCell ref="U49:U53"/>
    <mergeCell ref="U54:U57"/>
    <mergeCell ref="W54:W57"/>
    <mergeCell ref="V72:V74"/>
    <mergeCell ref="W72:W74"/>
    <mergeCell ref="Y72:Y74"/>
    <mergeCell ref="U41:U44"/>
    <mergeCell ref="U45:U48"/>
    <mergeCell ref="R54:R57"/>
    <mergeCell ref="Y54:Y57"/>
    <mergeCell ref="AB54:AC57"/>
    <mergeCell ref="AD54:AD62"/>
    <mergeCell ref="AG54:AG57"/>
    <mergeCell ref="AH54:AH57"/>
    <mergeCell ref="AI54:AI57"/>
    <mergeCell ref="AJ54:AJ57"/>
    <mergeCell ref="P58:Q62"/>
    <mergeCell ref="P75:Q77"/>
    <mergeCell ref="O35:O77"/>
    <mergeCell ref="P35:Q36"/>
    <mergeCell ref="P37:Q40"/>
    <mergeCell ref="P41:Q44"/>
    <mergeCell ref="P45:Q48"/>
    <mergeCell ref="P49:Q53"/>
    <mergeCell ref="P54:Q57"/>
    <mergeCell ref="D79:E82"/>
    <mergeCell ref="F79:F82"/>
    <mergeCell ref="K79:K82"/>
    <mergeCell ref="L79:L82"/>
    <mergeCell ref="C74:C75"/>
    <mergeCell ref="D74:M75"/>
    <mergeCell ref="C76:M76"/>
    <mergeCell ref="C77:C82"/>
    <mergeCell ref="D77:E78"/>
    <mergeCell ref="F77:F78"/>
    <mergeCell ref="G77:G78"/>
    <mergeCell ref="M79:M82"/>
    <mergeCell ref="H72:H73"/>
    <mergeCell ref="I72:M72"/>
    <mergeCell ref="I73:M73"/>
    <mergeCell ref="C61:M61"/>
    <mergeCell ref="C62:C67"/>
    <mergeCell ref="D62:M67"/>
    <mergeCell ref="C68:C71"/>
    <mergeCell ref="D68:M71"/>
    <mergeCell ref="C72:C73"/>
    <mergeCell ref="D72:G73"/>
    <mergeCell ref="H77:H78"/>
    <mergeCell ref="I77:I78"/>
    <mergeCell ref="J77:J78"/>
    <mergeCell ref="K77:K78"/>
    <mergeCell ref="L77:L78"/>
    <mergeCell ref="M77:M78"/>
    <mergeCell ref="G79:G82"/>
    <mergeCell ref="H79:H82"/>
    <mergeCell ref="I79:I82"/>
    <mergeCell ref="J79:J82"/>
    <mergeCell ref="O19:O24"/>
    <mergeCell ref="P19:Y24"/>
    <mergeCell ref="AA19:AA24"/>
    <mergeCell ref="AB19:AK24"/>
    <mergeCell ref="O25:O28"/>
    <mergeCell ref="P25:Y28"/>
    <mergeCell ref="AA25:AA28"/>
    <mergeCell ref="AB25:AK28"/>
    <mergeCell ref="O29:O30"/>
    <mergeCell ref="P29:S30"/>
    <mergeCell ref="T29:T30"/>
    <mergeCell ref="U29:Y29"/>
    <mergeCell ref="AA29:AA30"/>
    <mergeCell ref="AB29:AE30"/>
    <mergeCell ref="D5:M5"/>
    <mergeCell ref="D6:M6"/>
    <mergeCell ref="AB5:AK5"/>
    <mergeCell ref="AB6:AK6"/>
    <mergeCell ref="P6:Y6"/>
    <mergeCell ref="P7:Y7"/>
    <mergeCell ref="O8:Y8"/>
    <mergeCell ref="AA8:AK8"/>
    <mergeCell ref="C9:M17"/>
    <mergeCell ref="O9:Y17"/>
    <mergeCell ref="D29:G30"/>
    <mergeCell ref="H29:H30"/>
    <mergeCell ref="AF29:AF30"/>
    <mergeCell ref="AG29:AK29"/>
    <mergeCell ref="I30:M30"/>
    <mergeCell ref="U30:Y30"/>
    <mergeCell ref="AG30:AK30"/>
    <mergeCell ref="C29:C30"/>
    <mergeCell ref="C31:C32"/>
    <mergeCell ref="D31:M32"/>
    <mergeCell ref="C33:M33"/>
    <mergeCell ref="C34:M34"/>
    <mergeCell ref="AA9:AK17"/>
    <mergeCell ref="AA18:AK18"/>
    <mergeCell ref="O31:O32"/>
    <mergeCell ref="P31:Y32"/>
    <mergeCell ref="AA31:AA32"/>
    <mergeCell ref="AB31:AK32"/>
    <mergeCell ref="O33:Y33"/>
    <mergeCell ref="AA33:AK33"/>
    <mergeCell ref="O34:Y34"/>
    <mergeCell ref="AA34:AK34"/>
    <mergeCell ref="R35:R36"/>
    <mergeCell ref="S35:S36"/>
    <mergeCell ref="T35:T36"/>
    <mergeCell ref="U35:U36"/>
    <mergeCell ref="R37:R53"/>
    <mergeCell ref="S37:S77"/>
    <mergeCell ref="T37:T77"/>
    <mergeCell ref="U37:U40"/>
    <mergeCell ref="V37:V40"/>
    <mergeCell ref="W37:W40"/>
    <mergeCell ref="X37:X44"/>
    <mergeCell ref="Y37:Y40"/>
    <mergeCell ref="AB37:AC40"/>
    <mergeCell ref="AD37:AD44"/>
    <mergeCell ref="AE37:AE62"/>
    <mergeCell ref="AF37:AF62"/>
    <mergeCell ref="AG37:AG40"/>
    <mergeCell ref="AH37:AH40"/>
    <mergeCell ref="G37:G45"/>
    <mergeCell ref="H37:H45"/>
    <mergeCell ref="C35:C45"/>
    <mergeCell ref="D35:E36"/>
    <mergeCell ref="G35:G36"/>
    <mergeCell ref="H35:H36"/>
    <mergeCell ref="I35:I36"/>
    <mergeCell ref="D37:E40"/>
    <mergeCell ref="D41:E45"/>
    <mergeCell ref="V49:V53"/>
    <mergeCell ref="V54:V57"/>
    <mergeCell ref="V35:V36"/>
    <mergeCell ref="W35:W36"/>
    <mergeCell ref="V41:V44"/>
    <mergeCell ref="W41:W44"/>
    <mergeCell ref="V45:V48"/>
    <mergeCell ref="W45:W48"/>
    <mergeCell ref="W49:W53"/>
    <mergeCell ref="D7:M7"/>
    <mergeCell ref="C8:M8"/>
    <mergeCell ref="C4:M4"/>
    <mergeCell ref="C18:M18"/>
    <mergeCell ref="C19:C24"/>
    <mergeCell ref="D19:M24"/>
    <mergeCell ref="C25:C28"/>
    <mergeCell ref="D25:M28"/>
    <mergeCell ref="I29:M29"/>
    <mergeCell ref="K35:K36"/>
    <mergeCell ref="L35:L36"/>
    <mergeCell ref="M35:M36"/>
    <mergeCell ref="F35:F36"/>
    <mergeCell ref="F37:F45"/>
    <mergeCell ref="J35:J36"/>
    <mergeCell ref="J37:J40"/>
    <mergeCell ref="K37:K40"/>
    <mergeCell ref="L37:L40"/>
    <mergeCell ref="M37:M40"/>
    <mergeCell ref="I37:I45"/>
    <mergeCell ref="J41:J45"/>
    <mergeCell ref="K41:K45"/>
    <mergeCell ref="L41:L45"/>
    <mergeCell ref="M41:M45"/>
    <mergeCell ref="C46:M46"/>
    <mergeCell ref="C47:M47"/>
    <mergeCell ref="D48:M48"/>
    <mergeCell ref="D49:M49"/>
    <mergeCell ref="D50:M50"/>
    <mergeCell ref="C51:M51"/>
    <mergeCell ref="C52:M60"/>
  </mergeCells>
  <conditionalFormatting sqref="J37:J40">
    <cfRule type="expression" dxfId="0" priority="1" stopIfTrue="1">
      <formula>$J$37= "لا"</formula>
    </cfRule>
  </conditionalFormatting>
  <conditionalFormatting sqref="J41:J45">
    <cfRule type="expression" dxfId="0" priority="2">
      <formula>$J$41="لا يوجد"</formula>
    </cfRule>
  </conditionalFormatting>
  <conditionalFormatting sqref="J41:J45">
    <cfRule type="expression" dxfId="1" priority="3">
      <formula>$J$41="يوجد"</formula>
    </cfRule>
  </conditionalFormatting>
  <conditionalFormatting sqref="J79:J82">
    <cfRule type="expression" dxfId="2" priority="4" stopIfTrue="1">
      <formula>$J$37= "ناقص "</formula>
    </cfRule>
  </conditionalFormatting>
  <conditionalFormatting sqref="J79:J82">
    <cfRule type="expression" dxfId="0" priority="5">
      <formula>$J$79= "لا يوجد"</formula>
    </cfRule>
  </conditionalFormatting>
  <conditionalFormatting sqref="J79:J82">
    <cfRule type="expression" dxfId="1" priority="6">
      <formula>$J$79= "يوجد"</formula>
    </cfRule>
  </conditionalFormatting>
  <conditionalFormatting sqref="J79:J82">
    <cfRule type="expression" dxfId="0" priority="7">
      <formula>$J$37= "لا يوجد"</formula>
    </cfRule>
  </conditionalFormatting>
  <conditionalFormatting sqref="V37:V40">
    <cfRule type="expression" dxfId="0" priority="8">
      <formula>$V$37= "لا"</formula>
    </cfRule>
  </conditionalFormatting>
  <conditionalFormatting sqref="V41:V44">
    <cfRule type="expression" dxfId="1" priority="9">
      <formula>$V$41="نعم "</formula>
    </cfRule>
  </conditionalFormatting>
  <conditionalFormatting sqref="V41:V44">
    <cfRule type="expression" dxfId="0" priority="10">
      <formula>$V$41="لا "</formula>
    </cfRule>
  </conditionalFormatting>
  <conditionalFormatting sqref="V45:V48">
    <cfRule type="expression" dxfId="0" priority="11">
      <formula>$V$45="لا "</formula>
    </cfRule>
  </conditionalFormatting>
  <conditionalFormatting sqref="V49:V53">
    <cfRule type="expression" dxfId="2" priority="12">
      <formula>$V$49="ناقص"</formula>
    </cfRule>
  </conditionalFormatting>
  <conditionalFormatting sqref="V49:V53">
    <cfRule type="expression" dxfId="1" priority="13">
      <formula>$V$49="نعم"</formula>
    </cfRule>
  </conditionalFormatting>
  <conditionalFormatting sqref="V49:V53">
    <cfRule type="expression" dxfId="0" priority="14" stopIfTrue="1">
      <formula>$V$49=" لا "</formula>
    </cfRule>
  </conditionalFormatting>
  <conditionalFormatting sqref="V54:V57">
    <cfRule type="expression" dxfId="0" priority="15">
      <formula>$V$54="لا"</formula>
    </cfRule>
  </conditionalFormatting>
  <conditionalFormatting sqref="V54:V57">
    <cfRule type="expression" dxfId="1" priority="16">
      <formula>$V$54="نعم"</formula>
    </cfRule>
  </conditionalFormatting>
  <conditionalFormatting sqref="V58:V62">
    <cfRule type="expression" dxfId="0" priority="17">
      <formula>$V$58="لا"</formula>
    </cfRule>
  </conditionalFormatting>
  <conditionalFormatting sqref="V58:V62">
    <cfRule type="expression" dxfId="1" priority="18">
      <formula>$V$58="نعم"</formula>
    </cfRule>
  </conditionalFormatting>
  <conditionalFormatting sqref="V58:V62">
    <cfRule type="expression" dxfId="2" priority="19">
      <formula>$V$58="ناقص"</formula>
    </cfRule>
  </conditionalFormatting>
  <conditionalFormatting sqref="V63:V66">
    <cfRule type="expression" dxfId="0" priority="20" stopIfTrue="1">
      <formula>$V$54="لا "</formula>
    </cfRule>
  </conditionalFormatting>
  <conditionalFormatting sqref="V63:V66">
    <cfRule type="expression" dxfId="1" priority="21">
      <formula>$V$63="نعم"</formula>
    </cfRule>
  </conditionalFormatting>
  <conditionalFormatting sqref="V67:V71">
    <cfRule type="expression" dxfId="0" priority="22">
      <formula>$V$58="لا"</formula>
    </cfRule>
  </conditionalFormatting>
  <conditionalFormatting sqref="V67:V71">
    <cfRule type="expression" dxfId="2" priority="23">
      <formula>$V$67="متأخر"</formula>
    </cfRule>
  </conditionalFormatting>
  <conditionalFormatting sqref="V67:V71">
    <cfRule type="expression" dxfId="1" priority="24">
      <formula>$V$67="نعم"</formula>
    </cfRule>
  </conditionalFormatting>
  <conditionalFormatting sqref="V72:V74">
    <cfRule type="expression" dxfId="1" priority="25">
      <formula>$V$72= "يوجد"</formula>
    </cfRule>
  </conditionalFormatting>
  <conditionalFormatting sqref="V72:V74">
    <cfRule type="expression" dxfId="0" priority="26">
      <formula>$V$72= "لا يوجد"</formula>
    </cfRule>
  </conditionalFormatting>
  <conditionalFormatting sqref="V75:V77">
    <cfRule type="expression" dxfId="0" priority="27">
      <formula>$V$75= "لم يتم اعتمادها من الجمعية العمومية."</formula>
    </cfRule>
  </conditionalFormatting>
  <conditionalFormatting sqref="V75:V77">
    <cfRule type="expression" dxfId="1" priority="28">
      <formula>$V$75= "تم اعتمادها من الجمعية العمومية."</formula>
    </cfRule>
  </conditionalFormatting>
  <conditionalFormatting sqref="AH37:AH40">
    <cfRule type="expression" dxfId="0" priority="29">
      <formula>$J$37= "لا يوجد"</formula>
    </cfRule>
  </conditionalFormatting>
  <conditionalFormatting sqref="AH41:AH44">
    <cfRule type="expression" dxfId="1" priority="30">
      <formula>$AH$41="نعم"</formula>
    </cfRule>
  </conditionalFormatting>
  <conditionalFormatting sqref="AH41:AH44">
    <cfRule type="expression" dxfId="0" priority="31">
      <formula>$AH$41="لا"</formula>
    </cfRule>
  </conditionalFormatting>
  <conditionalFormatting sqref="AH45:AH48">
    <cfRule type="expression" dxfId="0" priority="32" stopIfTrue="1">
      <formula>$AH$45="لا"</formula>
    </cfRule>
  </conditionalFormatting>
  <conditionalFormatting sqref="AH49:AH53">
    <cfRule type="expression" dxfId="1" priority="33">
      <formula>$AH$49="نعم"</formula>
    </cfRule>
  </conditionalFormatting>
  <conditionalFormatting sqref="AH49:AH53">
    <cfRule type="expression" dxfId="0" priority="34">
      <formula>$AH$49="لا"</formula>
    </cfRule>
  </conditionalFormatting>
  <conditionalFormatting sqref="AH49:AH53">
    <cfRule type="expression" dxfId="2" priority="35">
      <formula>$V$49="ناقص"</formula>
    </cfRule>
  </conditionalFormatting>
  <conditionalFormatting sqref="AH49:AH53">
    <cfRule type="expression" dxfId="1" priority="36">
      <formula>$V$49="نعم"</formula>
    </cfRule>
  </conditionalFormatting>
  <conditionalFormatting sqref="AH49:AH53">
    <cfRule type="expression" dxfId="0" priority="37">
      <formula>$V$49="لا"</formula>
    </cfRule>
  </conditionalFormatting>
  <conditionalFormatting sqref="AH54:AH57">
    <cfRule type="expression" dxfId="0" priority="38">
      <formula>$V$54="لا"</formula>
    </cfRule>
  </conditionalFormatting>
  <conditionalFormatting sqref="AH54:AH57">
    <cfRule type="expression" dxfId="1" priority="39">
      <formula>$V$54="نعم"</formula>
    </cfRule>
  </conditionalFormatting>
  <conditionalFormatting sqref="AH58:AH62">
    <cfRule type="expression" dxfId="1" priority="40">
      <formula>$AH$58="نعم"</formula>
    </cfRule>
  </conditionalFormatting>
  <conditionalFormatting sqref="AH58:AH62">
    <cfRule type="expression" dxfId="0" priority="41">
      <formula>$AH$58="لا"</formula>
    </cfRule>
  </conditionalFormatting>
  <dataValidations>
    <dataValidation type="list" allowBlank="1" showErrorMessage="1" sqref="AH37 J41 V72">
      <formula1>"يوجد,لا يوجد"</formula1>
    </dataValidation>
    <dataValidation type="list" allowBlank="1" showErrorMessage="1" sqref="V67">
      <formula1>"نعم,لا,متأخر"</formula1>
    </dataValidation>
    <dataValidation type="list" allowBlank="1" showErrorMessage="1" sqref="V75">
      <formula1>"لم يتم اعتمادها من الجمعية العمومية.,تم اعتمادها من الجمعية العمومية."</formula1>
    </dataValidation>
    <dataValidation type="list" allowBlank="1" showErrorMessage="1" sqref="J37 V37 V41 AH41 V45 AH45 V54 AH54 AH58 V63">
      <formula1>"نعم,لا"</formula1>
    </dataValidation>
    <dataValidation type="list" allowBlank="1" showErrorMessage="1" sqref="J79">
      <formula1>"يوجد,لا يوجد,ناقص"</formula1>
    </dataValidation>
    <dataValidation type="list" allowBlank="1" showErrorMessage="1" sqref="V49 AH49 V58">
      <formula1>"نعم,لا,ناقص"</formula1>
    </dataValidation>
  </dataValidations>
  <hyperlinks>
    <hyperlink r:id="rId1" ref="M37"/>
    <hyperlink r:id="rId2" ref="Y37"/>
    <hyperlink r:id="rId3" ref="Y41"/>
    <hyperlink r:id="rId4" ref="AK41"/>
    <hyperlink r:id="rId5" ref="Y45"/>
    <hyperlink r:id="rId6" ref="Y49"/>
    <hyperlink r:id="rId7" ref="AK49"/>
    <hyperlink r:id="rId8" ref="Y54"/>
    <hyperlink r:id="rId9" ref="AK54"/>
    <hyperlink r:id="rId10" ref="Y58"/>
    <hyperlink r:id="rId11" ref="Y63"/>
    <hyperlink r:id="rId12" ref="Y67"/>
    <hyperlink r:id="rId13" ref="Y72"/>
    <hyperlink r:id="rId14" ref="Y75"/>
  </hyperlinks>
  <printOptions/>
  <pageMargins bottom="0.75" footer="0.0" header="0.0" left="0.7" right="0.7" top="0.75"/>
  <pageSetup orientation="landscape"/>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1.22" defaultRowHeight="15.0"/>
  <cols>
    <col customWidth="1" min="1" max="85" width="50.78"/>
    <col customWidth="1" min="86" max="86" width="10.56"/>
    <col customWidth="1" min="87" max="97" width="50.78"/>
  </cols>
  <sheetData>
    <row r="1" ht="30.0" customHeight="1">
      <c r="A1" s="51"/>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c r="BB1" s="51"/>
      <c r="BC1" s="51"/>
      <c r="BD1" s="51"/>
      <c r="BE1" s="51"/>
      <c r="BF1" s="51"/>
      <c r="BG1" s="51"/>
      <c r="BH1" s="51"/>
      <c r="BI1" s="51"/>
      <c r="BJ1" s="51"/>
      <c r="BK1" s="51"/>
      <c r="BL1" s="51"/>
      <c r="BM1" s="51"/>
      <c r="BN1" s="51"/>
      <c r="BO1" s="51"/>
      <c r="BP1" s="51"/>
      <c r="BQ1" s="51"/>
      <c r="BR1" s="51"/>
      <c r="BS1" s="51"/>
      <c r="BT1" s="51"/>
      <c r="BU1" s="51"/>
      <c r="BV1" s="51"/>
      <c r="BW1" s="51"/>
      <c r="BX1" s="51"/>
      <c r="BY1" s="51"/>
      <c r="BZ1" s="51"/>
      <c r="CA1" s="51"/>
      <c r="CB1" s="51"/>
      <c r="CC1" s="51"/>
      <c r="CD1" s="51"/>
      <c r="CE1" s="51"/>
      <c r="CF1" s="51"/>
      <c r="CG1" s="51"/>
    </row>
    <row r="2" ht="30.0" customHeight="1">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row>
    <row r="3" ht="30.0" customHeight="1">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row>
    <row r="4" ht="30.0" customHeight="1">
      <c r="A4" s="51"/>
      <c r="B4" s="51"/>
      <c r="C4" s="52" t="s">
        <v>108</v>
      </c>
      <c r="D4" s="4"/>
      <c r="E4" s="4"/>
      <c r="F4" s="4"/>
      <c r="G4" s="4"/>
      <c r="H4" s="4"/>
      <c r="I4" s="4"/>
      <c r="J4" s="4"/>
      <c r="K4" s="4"/>
      <c r="L4" s="4"/>
      <c r="M4" s="5"/>
      <c r="N4" s="53"/>
      <c r="O4" s="52" t="s">
        <v>109</v>
      </c>
      <c r="P4" s="4"/>
      <c r="Q4" s="4"/>
      <c r="R4" s="4"/>
      <c r="S4" s="4"/>
      <c r="T4" s="4"/>
      <c r="U4" s="4"/>
      <c r="V4" s="4"/>
      <c r="W4" s="4"/>
      <c r="X4" s="4"/>
      <c r="Y4" s="5"/>
      <c r="Z4" s="53"/>
      <c r="AA4" s="52" t="s">
        <v>110</v>
      </c>
      <c r="AB4" s="4"/>
      <c r="AC4" s="4"/>
      <c r="AD4" s="4"/>
      <c r="AE4" s="4"/>
      <c r="AF4" s="4"/>
      <c r="AG4" s="4"/>
      <c r="AH4" s="4"/>
      <c r="AI4" s="4"/>
      <c r="AJ4" s="4"/>
      <c r="AK4" s="5"/>
      <c r="AL4" s="53"/>
      <c r="AM4" s="52" t="s">
        <v>111</v>
      </c>
      <c r="AN4" s="4"/>
      <c r="AO4" s="4"/>
      <c r="AP4" s="4"/>
      <c r="AQ4" s="4"/>
      <c r="AR4" s="4"/>
      <c r="AS4" s="4"/>
      <c r="AT4" s="4"/>
      <c r="AU4" s="4"/>
      <c r="AV4" s="4"/>
      <c r="AW4" s="5"/>
      <c r="AX4" s="53"/>
      <c r="AY4" s="52" t="s">
        <v>112</v>
      </c>
      <c r="AZ4" s="4"/>
      <c r="BA4" s="4"/>
      <c r="BB4" s="4"/>
      <c r="BC4" s="4"/>
      <c r="BD4" s="4"/>
      <c r="BE4" s="4"/>
      <c r="BF4" s="4"/>
      <c r="BG4" s="4"/>
      <c r="BH4" s="4"/>
      <c r="BI4" s="5"/>
      <c r="BJ4" s="53"/>
      <c r="BK4" s="52" t="s">
        <v>113</v>
      </c>
      <c r="BL4" s="4"/>
      <c r="BM4" s="4"/>
      <c r="BN4" s="4"/>
      <c r="BO4" s="4"/>
      <c r="BP4" s="4"/>
      <c r="BQ4" s="4"/>
      <c r="BR4" s="4"/>
      <c r="BS4" s="4"/>
      <c r="BT4" s="4"/>
      <c r="BU4" s="5"/>
      <c r="BV4" s="53"/>
      <c r="BW4" s="52" t="s">
        <v>114</v>
      </c>
      <c r="BX4" s="4"/>
      <c r="BY4" s="4"/>
      <c r="BZ4" s="4"/>
      <c r="CA4" s="4"/>
      <c r="CB4" s="4"/>
      <c r="CC4" s="4"/>
      <c r="CD4" s="4"/>
      <c r="CE4" s="4"/>
      <c r="CF4" s="4"/>
      <c r="CG4" s="5"/>
      <c r="CH4" s="54"/>
      <c r="CI4" s="52" t="s">
        <v>115</v>
      </c>
      <c r="CJ4" s="4"/>
      <c r="CK4" s="4"/>
      <c r="CL4" s="4"/>
      <c r="CM4" s="4"/>
      <c r="CN4" s="4"/>
      <c r="CO4" s="4"/>
      <c r="CP4" s="4"/>
      <c r="CQ4" s="4"/>
      <c r="CR4" s="4"/>
      <c r="CS4" s="5"/>
    </row>
    <row r="5" ht="30.0" customHeight="1">
      <c r="A5" s="51"/>
      <c r="B5" s="51"/>
      <c r="C5" s="55" t="s">
        <v>116</v>
      </c>
      <c r="D5" s="56" t="s">
        <v>117</v>
      </c>
      <c r="O5" s="55" t="s">
        <v>116</v>
      </c>
      <c r="P5" s="56" t="s">
        <v>117</v>
      </c>
      <c r="AA5" s="55" t="s">
        <v>116</v>
      </c>
      <c r="AB5" s="56" t="s">
        <v>117</v>
      </c>
      <c r="AM5" s="55" t="s">
        <v>116</v>
      </c>
      <c r="AN5" s="56" t="s">
        <v>117</v>
      </c>
      <c r="AY5" s="55" t="s">
        <v>116</v>
      </c>
      <c r="AZ5" s="56" t="s">
        <v>117</v>
      </c>
      <c r="BK5" s="55" t="s">
        <v>116</v>
      </c>
      <c r="BL5" s="56" t="s">
        <v>117</v>
      </c>
      <c r="BW5" s="55" t="s">
        <v>116</v>
      </c>
      <c r="BX5" s="56" t="s">
        <v>117</v>
      </c>
      <c r="CI5" s="55" t="s">
        <v>116</v>
      </c>
      <c r="CJ5" s="56" t="s">
        <v>117</v>
      </c>
    </row>
    <row r="6" ht="30.0" customHeight="1">
      <c r="A6" s="51"/>
      <c r="B6" s="51"/>
      <c r="C6" s="57" t="s">
        <v>5</v>
      </c>
      <c r="D6" s="58" t="s">
        <v>118</v>
      </c>
      <c r="O6" s="57" t="s">
        <v>5</v>
      </c>
      <c r="P6" s="58" t="s">
        <v>118</v>
      </c>
      <c r="AA6" s="57" t="s">
        <v>5</v>
      </c>
      <c r="AB6" s="58" t="s">
        <v>118</v>
      </c>
      <c r="AM6" s="57" t="s">
        <v>5</v>
      </c>
      <c r="AN6" s="58" t="s">
        <v>118</v>
      </c>
      <c r="AY6" s="57" t="s">
        <v>5</v>
      </c>
      <c r="AZ6" s="58" t="s">
        <v>118</v>
      </c>
      <c r="BK6" s="57" t="s">
        <v>5</v>
      </c>
      <c r="BL6" s="58" t="s">
        <v>118</v>
      </c>
      <c r="BW6" s="57" t="s">
        <v>5</v>
      </c>
      <c r="BX6" s="58" t="s">
        <v>118</v>
      </c>
      <c r="CI6" s="57" t="s">
        <v>5</v>
      </c>
      <c r="CJ6" s="58" t="s">
        <v>118</v>
      </c>
    </row>
    <row r="7" ht="30.0" customHeight="1">
      <c r="A7" s="51"/>
      <c r="B7" s="51"/>
      <c r="C7" s="57" t="s">
        <v>7</v>
      </c>
      <c r="D7" s="59" t="s">
        <v>119</v>
      </c>
      <c r="O7" s="57" t="s">
        <v>7</v>
      </c>
      <c r="P7" s="59" t="s">
        <v>120</v>
      </c>
      <c r="AA7" s="57" t="s">
        <v>7</v>
      </c>
      <c r="AB7" s="59" t="s">
        <v>121</v>
      </c>
      <c r="AM7" s="57" t="s">
        <v>7</v>
      </c>
      <c r="AN7" s="59" t="s">
        <v>122</v>
      </c>
      <c r="AY7" s="57" t="s">
        <v>7</v>
      </c>
      <c r="AZ7" s="60" t="s">
        <v>123</v>
      </c>
      <c r="BK7" s="57" t="s">
        <v>7</v>
      </c>
      <c r="BL7" s="60" t="s">
        <v>124</v>
      </c>
      <c r="BW7" s="57" t="s">
        <v>7</v>
      </c>
      <c r="BX7" s="59" t="s">
        <v>125</v>
      </c>
      <c r="CI7" s="57" t="s">
        <v>7</v>
      </c>
      <c r="CJ7" s="60" t="s">
        <v>126</v>
      </c>
    </row>
    <row r="8" ht="30.0" customHeight="1">
      <c r="A8" s="51"/>
      <c r="B8" s="51"/>
      <c r="C8" s="61" t="s">
        <v>127</v>
      </c>
      <c r="D8" s="4"/>
      <c r="E8" s="4"/>
      <c r="F8" s="4"/>
      <c r="G8" s="4"/>
      <c r="H8" s="4"/>
      <c r="I8" s="4"/>
      <c r="J8" s="4"/>
      <c r="K8" s="4"/>
      <c r="L8" s="4"/>
      <c r="M8" s="5"/>
      <c r="O8" s="61" t="s">
        <v>128</v>
      </c>
      <c r="P8" s="4"/>
      <c r="Q8" s="4"/>
      <c r="R8" s="4"/>
      <c r="S8" s="4"/>
      <c r="T8" s="4"/>
      <c r="U8" s="4"/>
      <c r="V8" s="4"/>
      <c r="W8" s="4"/>
      <c r="X8" s="4"/>
      <c r="Y8" s="5"/>
      <c r="AA8" s="61" t="s">
        <v>129</v>
      </c>
      <c r="AB8" s="4"/>
      <c r="AC8" s="4"/>
      <c r="AD8" s="4"/>
      <c r="AE8" s="4"/>
      <c r="AF8" s="4"/>
      <c r="AG8" s="4"/>
      <c r="AH8" s="4"/>
      <c r="AI8" s="4"/>
      <c r="AJ8" s="4"/>
      <c r="AK8" s="5"/>
      <c r="AM8" s="61" t="s">
        <v>130</v>
      </c>
      <c r="AN8" s="4"/>
      <c r="AO8" s="4"/>
      <c r="AP8" s="4"/>
      <c r="AQ8" s="4"/>
      <c r="AR8" s="4"/>
      <c r="AS8" s="4"/>
      <c r="AT8" s="4"/>
      <c r="AU8" s="4"/>
      <c r="AV8" s="4"/>
      <c r="AW8" s="5"/>
      <c r="AY8" s="61" t="s">
        <v>131</v>
      </c>
      <c r="AZ8" s="4"/>
      <c r="BA8" s="4"/>
      <c r="BB8" s="4"/>
      <c r="BC8" s="4"/>
      <c r="BD8" s="4"/>
      <c r="BE8" s="4"/>
      <c r="BF8" s="4"/>
      <c r="BG8" s="4"/>
      <c r="BH8" s="4"/>
      <c r="BI8" s="5"/>
      <c r="BK8" s="61" t="s">
        <v>132</v>
      </c>
      <c r="BL8" s="4"/>
      <c r="BM8" s="4"/>
      <c r="BN8" s="4"/>
      <c r="BO8" s="4"/>
      <c r="BP8" s="4"/>
      <c r="BQ8" s="4"/>
      <c r="BR8" s="4"/>
      <c r="BS8" s="4"/>
      <c r="BT8" s="4"/>
      <c r="BU8" s="5"/>
      <c r="BW8" s="61" t="s">
        <v>133</v>
      </c>
      <c r="BX8" s="4"/>
      <c r="BY8" s="4"/>
      <c r="BZ8" s="4"/>
      <c r="CA8" s="4"/>
      <c r="CB8" s="4"/>
      <c r="CC8" s="4"/>
      <c r="CD8" s="4"/>
      <c r="CE8" s="4"/>
      <c r="CF8" s="4"/>
      <c r="CG8" s="5"/>
      <c r="CI8" s="61" t="s">
        <v>134</v>
      </c>
      <c r="CJ8" s="4"/>
      <c r="CK8" s="4"/>
      <c r="CL8" s="4"/>
      <c r="CM8" s="4"/>
      <c r="CN8" s="4"/>
      <c r="CO8" s="4"/>
      <c r="CP8" s="4"/>
      <c r="CQ8" s="4"/>
      <c r="CR8" s="4"/>
      <c r="CS8" s="5"/>
    </row>
    <row r="9" ht="30.0" customHeight="1">
      <c r="A9" s="51"/>
      <c r="B9" s="51"/>
      <c r="C9" s="60" t="s">
        <v>135</v>
      </c>
      <c r="O9" s="60" t="s">
        <v>136</v>
      </c>
      <c r="AA9" s="60" t="s">
        <v>137</v>
      </c>
      <c r="AM9" s="60" t="s">
        <v>130</v>
      </c>
      <c r="AY9" s="60" t="s">
        <v>138</v>
      </c>
      <c r="BK9" s="60" t="s">
        <v>139</v>
      </c>
      <c r="BW9" s="60" t="s">
        <v>140</v>
      </c>
      <c r="CI9" s="60" t="s">
        <v>141</v>
      </c>
    </row>
    <row r="10" ht="30.0" customHeight="1">
      <c r="A10" s="51"/>
      <c r="B10" s="51"/>
      <c r="C10" s="14"/>
      <c r="O10" s="14"/>
      <c r="AA10" s="14"/>
      <c r="AM10" s="14"/>
      <c r="AY10" s="14"/>
      <c r="BK10" s="14"/>
      <c r="BW10" s="14"/>
      <c r="CI10" s="14"/>
    </row>
    <row r="11" ht="30.0" customHeight="1">
      <c r="A11" s="51"/>
      <c r="B11" s="51"/>
      <c r="C11" s="14"/>
      <c r="O11" s="14"/>
      <c r="AA11" s="14"/>
      <c r="AM11" s="14"/>
      <c r="AY11" s="14"/>
      <c r="BK11" s="14"/>
      <c r="BW11" s="14"/>
      <c r="CI11" s="14"/>
    </row>
    <row r="12" ht="30.0" customHeight="1">
      <c r="A12" s="51"/>
      <c r="B12" s="51"/>
      <c r="C12" s="14"/>
      <c r="O12" s="14"/>
      <c r="AA12" s="14"/>
      <c r="AM12" s="14"/>
      <c r="AY12" s="14"/>
      <c r="BK12" s="14"/>
      <c r="BW12" s="14"/>
      <c r="CI12" s="14"/>
    </row>
    <row r="13" ht="30.0" customHeight="1">
      <c r="A13" s="51"/>
      <c r="B13" s="51"/>
      <c r="C13" s="14"/>
      <c r="O13" s="14"/>
      <c r="AA13" s="14"/>
      <c r="AM13" s="14"/>
      <c r="AY13" s="14"/>
      <c r="BK13" s="14"/>
      <c r="BW13" s="14"/>
      <c r="CI13" s="14"/>
    </row>
    <row r="14" ht="127.5" customHeight="1">
      <c r="A14" s="51"/>
      <c r="B14" s="51"/>
      <c r="C14" s="14"/>
      <c r="O14" s="14"/>
      <c r="AA14" s="14"/>
      <c r="AM14" s="14"/>
      <c r="AY14" s="14"/>
      <c r="BK14" s="14"/>
      <c r="BW14" s="14"/>
      <c r="CI14" s="14"/>
    </row>
    <row r="15" ht="30.0" customHeight="1">
      <c r="A15" s="51"/>
      <c r="B15" s="51"/>
      <c r="C15" s="14"/>
      <c r="O15" s="14"/>
      <c r="AA15" s="14"/>
      <c r="AM15" s="14"/>
      <c r="AY15" s="14"/>
      <c r="BK15" s="14"/>
      <c r="BW15" s="14"/>
      <c r="CI15" s="14"/>
    </row>
    <row r="16" ht="30.0" customHeight="1">
      <c r="A16" s="51"/>
      <c r="B16" s="51"/>
      <c r="C16" s="14"/>
      <c r="O16" s="14"/>
      <c r="AA16" s="14"/>
      <c r="AM16" s="14"/>
      <c r="AY16" s="14"/>
      <c r="BK16" s="14"/>
      <c r="BW16" s="14"/>
      <c r="CI16" s="14"/>
    </row>
    <row r="17" ht="279.75" customHeight="1">
      <c r="A17" s="51"/>
      <c r="B17" s="51"/>
      <c r="C17" s="14"/>
      <c r="O17" s="14"/>
      <c r="AA17" s="14"/>
      <c r="AM17" s="14"/>
      <c r="AY17" s="14"/>
      <c r="BK17" s="14"/>
      <c r="BW17" s="14"/>
      <c r="CI17" s="14"/>
    </row>
    <row r="18" ht="30.0" customHeight="1">
      <c r="A18" s="51"/>
      <c r="B18" s="51"/>
      <c r="C18" s="52" t="s">
        <v>16</v>
      </c>
      <c r="D18" s="4"/>
      <c r="E18" s="4"/>
      <c r="F18" s="4"/>
      <c r="G18" s="4"/>
      <c r="H18" s="4"/>
      <c r="I18" s="4"/>
      <c r="J18" s="4"/>
      <c r="K18" s="4"/>
      <c r="L18" s="4"/>
      <c r="M18" s="5"/>
      <c r="O18" s="52" t="s">
        <v>16</v>
      </c>
      <c r="P18" s="4"/>
      <c r="Q18" s="4"/>
      <c r="R18" s="4"/>
      <c r="S18" s="4"/>
      <c r="T18" s="4"/>
      <c r="U18" s="4"/>
      <c r="V18" s="4"/>
      <c r="W18" s="4"/>
      <c r="X18" s="4"/>
      <c r="Y18" s="5"/>
      <c r="AA18" s="52" t="s">
        <v>16</v>
      </c>
      <c r="AB18" s="4"/>
      <c r="AC18" s="4"/>
      <c r="AD18" s="4"/>
      <c r="AE18" s="4"/>
      <c r="AF18" s="4"/>
      <c r="AG18" s="4"/>
      <c r="AH18" s="4"/>
      <c r="AI18" s="4"/>
      <c r="AJ18" s="4"/>
      <c r="AK18" s="5"/>
      <c r="AM18" s="52" t="s">
        <v>16</v>
      </c>
      <c r="AN18" s="4"/>
      <c r="AO18" s="4"/>
      <c r="AP18" s="4"/>
      <c r="AQ18" s="4"/>
      <c r="AR18" s="4"/>
      <c r="AS18" s="4"/>
      <c r="AT18" s="4"/>
      <c r="AU18" s="4"/>
      <c r="AV18" s="4"/>
      <c r="AW18" s="5"/>
      <c r="AY18" s="52" t="s">
        <v>16</v>
      </c>
      <c r="AZ18" s="4"/>
      <c r="BA18" s="4"/>
      <c r="BB18" s="4"/>
      <c r="BC18" s="4"/>
      <c r="BD18" s="4"/>
      <c r="BE18" s="4"/>
      <c r="BF18" s="4"/>
      <c r="BG18" s="4"/>
      <c r="BH18" s="4"/>
      <c r="BI18" s="5"/>
      <c r="BK18" s="52" t="s">
        <v>16</v>
      </c>
      <c r="BL18" s="4"/>
      <c r="BM18" s="4"/>
      <c r="BN18" s="4"/>
      <c r="BO18" s="4"/>
      <c r="BP18" s="4"/>
      <c r="BQ18" s="4"/>
      <c r="BR18" s="4"/>
      <c r="BS18" s="4"/>
      <c r="BT18" s="4"/>
      <c r="BU18" s="5"/>
      <c r="BW18" s="52" t="s">
        <v>16</v>
      </c>
      <c r="BX18" s="4"/>
      <c r="BY18" s="4"/>
      <c r="BZ18" s="4"/>
      <c r="CA18" s="4"/>
      <c r="CB18" s="4"/>
      <c r="CC18" s="4"/>
      <c r="CD18" s="4"/>
      <c r="CE18" s="4"/>
      <c r="CF18" s="4"/>
      <c r="CG18" s="5"/>
      <c r="CI18" s="52" t="s">
        <v>16</v>
      </c>
      <c r="CJ18" s="4"/>
      <c r="CK18" s="4"/>
      <c r="CL18" s="4"/>
      <c r="CM18" s="4"/>
      <c r="CN18" s="4"/>
      <c r="CO18" s="4"/>
      <c r="CP18" s="4"/>
      <c r="CQ18" s="4"/>
      <c r="CR18" s="4"/>
      <c r="CS18" s="5"/>
    </row>
    <row r="19" ht="30.0" customHeight="1">
      <c r="A19" s="51"/>
      <c r="B19" s="51"/>
      <c r="C19" s="62" t="s">
        <v>17</v>
      </c>
      <c r="D19" s="63" t="s">
        <v>142</v>
      </c>
      <c r="O19" s="62" t="s">
        <v>17</v>
      </c>
      <c r="P19" s="63" t="s">
        <v>143</v>
      </c>
      <c r="AA19" s="62" t="s">
        <v>17</v>
      </c>
      <c r="AB19" s="63" t="s">
        <v>144</v>
      </c>
      <c r="AM19" s="62" t="s">
        <v>17</v>
      </c>
      <c r="AN19" s="63" t="s">
        <v>145</v>
      </c>
      <c r="AY19" s="62" t="s">
        <v>17</v>
      </c>
      <c r="AZ19" s="63" t="s">
        <v>146</v>
      </c>
      <c r="BK19" s="62" t="s">
        <v>17</v>
      </c>
      <c r="BL19" s="63" t="s">
        <v>147</v>
      </c>
      <c r="BW19" s="62" t="s">
        <v>17</v>
      </c>
      <c r="BX19" s="63" t="s">
        <v>148</v>
      </c>
      <c r="CI19" s="62" t="s">
        <v>17</v>
      </c>
      <c r="CJ19" s="63" t="s">
        <v>149</v>
      </c>
    </row>
    <row r="20" ht="30.0" customHeight="1">
      <c r="A20" s="51"/>
      <c r="B20" s="51"/>
      <c r="C20" s="17"/>
      <c r="O20" s="17"/>
      <c r="AA20" s="17"/>
      <c r="AM20" s="17"/>
      <c r="AY20" s="17"/>
      <c r="BK20" s="17"/>
      <c r="BW20" s="17"/>
      <c r="CI20" s="17"/>
    </row>
    <row r="21" ht="30.0" customHeight="1">
      <c r="A21" s="51"/>
      <c r="B21" s="51"/>
      <c r="C21" s="17"/>
      <c r="O21" s="17"/>
      <c r="AA21" s="17"/>
      <c r="AM21" s="17"/>
      <c r="AY21" s="17"/>
      <c r="BK21" s="17"/>
      <c r="BW21" s="17"/>
      <c r="CI21" s="17"/>
    </row>
    <row r="22" ht="30.0" customHeight="1">
      <c r="A22" s="51"/>
      <c r="B22" s="51"/>
      <c r="C22" s="17"/>
      <c r="O22" s="17"/>
      <c r="AA22" s="17"/>
      <c r="AM22" s="17"/>
      <c r="AY22" s="17"/>
      <c r="BK22" s="17"/>
      <c r="BW22" s="17"/>
      <c r="CI22" s="17"/>
    </row>
    <row r="23" ht="30.0" customHeight="1">
      <c r="A23" s="51"/>
      <c r="B23" s="51"/>
      <c r="C23" s="17"/>
      <c r="O23" s="17"/>
      <c r="AA23" s="17"/>
      <c r="AM23" s="17"/>
      <c r="AY23" s="17"/>
      <c r="BK23" s="17"/>
      <c r="BW23" s="17"/>
      <c r="CI23" s="17"/>
    </row>
    <row r="24" ht="141.0" customHeight="1">
      <c r="A24" s="51"/>
      <c r="B24" s="51"/>
      <c r="C24" s="18"/>
      <c r="O24" s="18"/>
      <c r="AA24" s="18"/>
      <c r="AM24" s="18"/>
      <c r="AY24" s="18"/>
      <c r="BK24" s="18"/>
      <c r="BW24" s="18"/>
      <c r="CI24" s="18"/>
    </row>
    <row r="25" ht="30.0" customHeight="1">
      <c r="A25" s="51"/>
      <c r="B25" s="51"/>
      <c r="C25" s="64" t="s">
        <v>21</v>
      </c>
      <c r="D25" s="63" t="s">
        <v>150</v>
      </c>
      <c r="O25" s="64" t="s">
        <v>21</v>
      </c>
      <c r="P25" s="63" t="s">
        <v>151</v>
      </c>
      <c r="AA25" s="64" t="s">
        <v>21</v>
      </c>
      <c r="AB25" s="63" t="s">
        <v>152</v>
      </c>
      <c r="AM25" s="64" t="s">
        <v>21</v>
      </c>
      <c r="AN25" s="63" t="s">
        <v>151</v>
      </c>
      <c r="AY25" s="64" t="s">
        <v>21</v>
      </c>
      <c r="AZ25" s="63" t="s">
        <v>151</v>
      </c>
      <c r="BK25" s="64" t="s">
        <v>21</v>
      </c>
      <c r="BL25" s="63" t="s">
        <v>151</v>
      </c>
      <c r="BW25" s="64" t="s">
        <v>21</v>
      </c>
      <c r="BX25" s="63" t="s">
        <v>151</v>
      </c>
      <c r="CI25" s="64" t="s">
        <v>21</v>
      </c>
      <c r="CJ25" s="63" t="s">
        <v>153</v>
      </c>
    </row>
    <row r="26" ht="30.0" customHeight="1">
      <c r="A26" s="51"/>
      <c r="B26" s="51"/>
      <c r="C26" s="17"/>
      <c r="O26" s="17"/>
      <c r="AA26" s="17"/>
      <c r="AM26" s="17"/>
      <c r="AY26" s="17"/>
      <c r="BK26" s="17"/>
      <c r="BW26" s="17"/>
      <c r="CI26" s="17"/>
    </row>
    <row r="27" ht="30.0" customHeight="1">
      <c r="A27" s="51"/>
      <c r="B27" s="51"/>
      <c r="C27" s="17"/>
      <c r="O27" s="17"/>
      <c r="AA27" s="17"/>
      <c r="AM27" s="17"/>
      <c r="AY27" s="17"/>
      <c r="BK27" s="17"/>
      <c r="BW27" s="17"/>
      <c r="CI27" s="17"/>
    </row>
    <row r="28" ht="30.0" customHeight="1">
      <c r="A28" s="51"/>
      <c r="B28" s="51"/>
      <c r="C28" s="18"/>
      <c r="O28" s="18"/>
      <c r="AA28" s="18"/>
      <c r="AM28" s="18"/>
      <c r="AY28" s="18"/>
      <c r="BK28" s="18"/>
      <c r="BW28" s="18"/>
      <c r="CI28" s="18"/>
    </row>
    <row r="29" ht="30.0" customHeight="1">
      <c r="A29" s="51"/>
      <c r="B29" s="51"/>
      <c r="C29" s="65" t="s">
        <v>25</v>
      </c>
      <c r="D29" s="66" t="s">
        <v>154</v>
      </c>
      <c r="H29" s="64" t="s">
        <v>27</v>
      </c>
      <c r="I29" s="67">
        <v>33.0</v>
      </c>
      <c r="O29" s="65" t="s">
        <v>25</v>
      </c>
      <c r="P29" s="66" t="s">
        <v>154</v>
      </c>
      <c r="T29" s="64" t="s">
        <v>27</v>
      </c>
      <c r="U29" s="67">
        <v>33.0</v>
      </c>
      <c r="AA29" s="65" t="s">
        <v>25</v>
      </c>
      <c r="AB29" s="66" t="s">
        <v>154</v>
      </c>
      <c r="AF29" s="64" t="s">
        <v>27</v>
      </c>
      <c r="AG29" s="67">
        <v>37.0</v>
      </c>
      <c r="AM29" s="65" t="s">
        <v>25</v>
      </c>
      <c r="AN29" s="66" t="s">
        <v>154</v>
      </c>
      <c r="AR29" s="64" t="s">
        <v>27</v>
      </c>
      <c r="AS29" s="67">
        <v>31.0</v>
      </c>
      <c r="AY29" s="65" t="s">
        <v>25</v>
      </c>
      <c r="AZ29" s="68" t="s">
        <v>155</v>
      </c>
      <c r="BD29" s="64" t="s">
        <v>27</v>
      </c>
      <c r="BE29" s="67" t="s">
        <v>156</v>
      </c>
      <c r="BK29" s="65" t="s">
        <v>25</v>
      </c>
      <c r="BL29" s="68" t="s">
        <v>154</v>
      </c>
      <c r="BP29" s="64" t="s">
        <v>27</v>
      </c>
      <c r="BQ29" s="67">
        <v>37.0</v>
      </c>
      <c r="BW29" s="65" t="s">
        <v>25</v>
      </c>
      <c r="BX29" s="68" t="s">
        <v>157</v>
      </c>
      <c r="CB29" s="64" t="s">
        <v>27</v>
      </c>
      <c r="CC29" s="67" t="s">
        <v>158</v>
      </c>
      <c r="CI29" s="65" t="s">
        <v>25</v>
      </c>
      <c r="CJ29" s="68" t="s">
        <v>154</v>
      </c>
      <c r="CN29" s="64" t="s">
        <v>27</v>
      </c>
      <c r="CO29" s="67">
        <v>26.0</v>
      </c>
    </row>
    <row r="30" ht="30.0" customHeight="1">
      <c r="A30" s="51"/>
      <c r="B30" s="51"/>
      <c r="C30" s="18"/>
      <c r="H30" s="18"/>
      <c r="O30" s="18"/>
      <c r="T30" s="18"/>
      <c r="AA30" s="18"/>
      <c r="AF30" s="18"/>
      <c r="AM30" s="18"/>
      <c r="AR30" s="18"/>
      <c r="AY30" s="18"/>
      <c r="BD30" s="18"/>
      <c r="BK30" s="18"/>
      <c r="BP30" s="18"/>
      <c r="BW30" s="18"/>
      <c r="CB30" s="18"/>
      <c r="CI30" s="18"/>
      <c r="CN30" s="18"/>
    </row>
    <row r="31" ht="30.0" customHeight="1">
      <c r="A31" s="51"/>
      <c r="B31" s="51"/>
      <c r="C31" s="64" t="s">
        <v>30</v>
      </c>
      <c r="D31" s="63" t="s">
        <v>159</v>
      </c>
      <c r="O31" s="64" t="s">
        <v>30</v>
      </c>
      <c r="P31" s="63" t="s">
        <v>160</v>
      </c>
      <c r="AA31" s="64" t="s">
        <v>30</v>
      </c>
      <c r="AB31" s="63" t="s">
        <v>161</v>
      </c>
      <c r="AM31" s="64" t="s">
        <v>30</v>
      </c>
      <c r="AN31" s="63" t="s">
        <v>162</v>
      </c>
      <c r="AY31" s="64" t="s">
        <v>30</v>
      </c>
      <c r="AZ31" s="63" t="s">
        <v>163</v>
      </c>
      <c r="BK31" s="64" t="s">
        <v>30</v>
      </c>
      <c r="BL31" s="63" t="s">
        <v>164</v>
      </c>
      <c r="BW31" s="64" t="s">
        <v>30</v>
      </c>
      <c r="BX31" s="63" t="s">
        <v>165</v>
      </c>
      <c r="CI31" s="64" t="s">
        <v>30</v>
      </c>
      <c r="CJ31" s="63" t="s">
        <v>166</v>
      </c>
    </row>
    <row r="32" ht="237.75" customHeight="1">
      <c r="A32" s="51"/>
      <c r="B32" s="51"/>
      <c r="C32" s="18"/>
      <c r="O32" s="18"/>
      <c r="AA32" s="18"/>
      <c r="AM32" s="18"/>
      <c r="AY32" s="18"/>
      <c r="BK32" s="18"/>
      <c r="BW32" s="18"/>
      <c r="CI32" s="18"/>
    </row>
    <row r="33" ht="30.0" customHeight="1">
      <c r="A33" s="51"/>
      <c r="B33" s="51"/>
      <c r="C33" s="69"/>
      <c r="D33" s="4"/>
      <c r="E33" s="4"/>
      <c r="F33" s="4"/>
      <c r="G33" s="4"/>
      <c r="H33" s="4"/>
      <c r="I33" s="4"/>
      <c r="J33" s="4"/>
      <c r="K33" s="4"/>
      <c r="L33" s="4"/>
      <c r="M33" s="5"/>
      <c r="O33" s="69"/>
      <c r="P33" s="4"/>
      <c r="Q33" s="4"/>
      <c r="R33" s="4"/>
      <c r="S33" s="4"/>
      <c r="T33" s="4"/>
      <c r="U33" s="4"/>
      <c r="V33" s="4"/>
      <c r="W33" s="4"/>
      <c r="X33" s="4"/>
      <c r="Y33" s="5"/>
      <c r="AA33" s="69"/>
      <c r="AB33" s="4"/>
      <c r="AC33" s="4"/>
      <c r="AD33" s="4"/>
      <c r="AE33" s="4"/>
      <c r="AF33" s="4"/>
      <c r="AG33" s="4"/>
      <c r="AH33" s="4"/>
      <c r="AI33" s="4"/>
      <c r="AJ33" s="4"/>
      <c r="AK33" s="5"/>
      <c r="AM33" s="69"/>
      <c r="AN33" s="4"/>
      <c r="AO33" s="4"/>
      <c r="AP33" s="4"/>
      <c r="AQ33" s="4"/>
      <c r="AR33" s="4"/>
      <c r="AS33" s="4"/>
      <c r="AT33" s="4"/>
      <c r="AU33" s="4"/>
      <c r="AV33" s="4"/>
      <c r="AW33" s="5"/>
      <c r="AY33" s="69"/>
      <c r="AZ33" s="4"/>
      <c r="BA33" s="4"/>
      <c r="BB33" s="4"/>
      <c r="BC33" s="4"/>
      <c r="BD33" s="4"/>
      <c r="BE33" s="4"/>
      <c r="BF33" s="4"/>
      <c r="BG33" s="4"/>
      <c r="BH33" s="4"/>
      <c r="BI33" s="5"/>
      <c r="BK33" s="69"/>
      <c r="BL33" s="4"/>
      <c r="BM33" s="4"/>
      <c r="BN33" s="4"/>
      <c r="BO33" s="4"/>
      <c r="BP33" s="4"/>
      <c r="BQ33" s="4"/>
      <c r="BR33" s="4"/>
      <c r="BS33" s="4"/>
      <c r="BT33" s="4"/>
      <c r="BU33" s="5"/>
      <c r="BW33" s="69"/>
      <c r="BX33" s="4"/>
      <c r="BY33" s="4"/>
      <c r="BZ33" s="4"/>
      <c r="CA33" s="4"/>
      <c r="CB33" s="4"/>
      <c r="CC33" s="4"/>
      <c r="CD33" s="4"/>
      <c r="CE33" s="4"/>
      <c r="CF33" s="4"/>
      <c r="CG33" s="5"/>
      <c r="CI33" s="69"/>
      <c r="CJ33" s="4"/>
      <c r="CK33" s="4"/>
      <c r="CL33" s="4"/>
      <c r="CM33" s="4"/>
      <c r="CN33" s="4"/>
      <c r="CO33" s="4"/>
      <c r="CP33" s="4"/>
      <c r="CQ33" s="4"/>
      <c r="CR33" s="4"/>
      <c r="CS33" s="5"/>
    </row>
    <row r="34" ht="30.0" customHeight="1">
      <c r="A34" s="51"/>
      <c r="B34" s="51"/>
      <c r="C34" s="70" t="s">
        <v>167</v>
      </c>
      <c r="D34" s="71" t="s">
        <v>35</v>
      </c>
      <c r="E34" s="28"/>
      <c r="F34" s="72" t="s">
        <v>36</v>
      </c>
      <c r="G34" s="72" t="s">
        <v>37</v>
      </c>
      <c r="H34" s="72" t="s">
        <v>38</v>
      </c>
      <c r="I34" s="72" t="s">
        <v>39</v>
      </c>
      <c r="J34" s="72" t="s">
        <v>40</v>
      </c>
      <c r="K34" s="72" t="s">
        <v>36</v>
      </c>
      <c r="L34" s="72" t="s">
        <v>17</v>
      </c>
      <c r="M34" s="72" t="s">
        <v>41</v>
      </c>
      <c r="N34" s="51"/>
      <c r="O34" s="70" t="s">
        <v>168</v>
      </c>
      <c r="P34" s="71" t="s">
        <v>35</v>
      </c>
      <c r="Q34" s="28"/>
      <c r="R34" s="72" t="s">
        <v>36</v>
      </c>
      <c r="S34" s="72" t="s">
        <v>37</v>
      </c>
      <c r="T34" s="72" t="s">
        <v>38</v>
      </c>
      <c r="U34" s="72" t="s">
        <v>39</v>
      </c>
      <c r="V34" s="72" t="s">
        <v>40</v>
      </c>
      <c r="W34" s="72" t="s">
        <v>36</v>
      </c>
      <c r="X34" s="72" t="s">
        <v>17</v>
      </c>
      <c r="Y34" s="72" t="s">
        <v>41</v>
      </c>
      <c r="Z34" s="51"/>
      <c r="AA34" s="70" t="s">
        <v>34</v>
      </c>
      <c r="AB34" s="71" t="s">
        <v>35</v>
      </c>
      <c r="AC34" s="28"/>
      <c r="AD34" s="72" t="s">
        <v>36</v>
      </c>
      <c r="AE34" s="72" t="s">
        <v>37</v>
      </c>
      <c r="AF34" s="72" t="s">
        <v>38</v>
      </c>
      <c r="AG34" s="72" t="s">
        <v>39</v>
      </c>
      <c r="AH34" s="72" t="s">
        <v>40</v>
      </c>
      <c r="AI34" s="72" t="s">
        <v>36</v>
      </c>
      <c r="AJ34" s="72" t="s">
        <v>17</v>
      </c>
      <c r="AK34" s="72" t="s">
        <v>41</v>
      </c>
      <c r="AL34" s="51"/>
      <c r="AM34" s="70" t="s">
        <v>167</v>
      </c>
      <c r="AN34" s="71" t="s">
        <v>35</v>
      </c>
      <c r="AO34" s="28"/>
      <c r="AP34" s="72" t="s">
        <v>36</v>
      </c>
      <c r="AQ34" s="72" t="s">
        <v>37</v>
      </c>
      <c r="AR34" s="72" t="s">
        <v>38</v>
      </c>
      <c r="AS34" s="72" t="s">
        <v>39</v>
      </c>
      <c r="AT34" s="72" t="s">
        <v>40</v>
      </c>
      <c r="AU34" s="72" t="s">
        <v>36</v>
      </c>
      <c r="AV34" s="72" t="s">
        <v>17</v>
      </c>
      <c r="AW34" s="72" t="s">
        <v>41</v>
      </c>
      <c r="AX34" s="51"/>
      <c r="AY34" s="70" t="s">
        <v>167</v>
      </c>
      <c r="AZ34" s="71" t="s">
        <v>35</v>
      </c>
      <c r="BA34" s="28"/>
      <c r="BB34" s="72" t="s">
        <v>36</v>
      </c>
      <c r="BC34" s="72" t="s">
        <v>37</v>
      </c>
      <c r="BD34" s="72" t="s">
        <v>38</v>
      </c>
      <c r="BE34" s="72" t="s">
        <v>39</v>
      </c>
      <c r="BF34" s="72" t="s">
        <v>40</v>
      </c>
      <c r="BG34" s="72" t="s">
        <v>36</v>
      </c>
      <c r="BH34" s="72" t="s">
        <v>17</v>
      </c>
      <c r="BI34" s="72" t="s">
        <v>41</v>
      </c>
      <c r="BJ34" s="51"/>
      <c r="BK34" s="70" t="s">
        <v>167</v>
      </c>
      <c r="BL34" s="71" t="s">
        <v>35</v>
      </c>
      <c r="BM34" s="28"/>
      <c r="BN34" s="72" t="s">
        <v>36</v>
      </c>
      <c r="BO34" s="72" t="s">
        <v>37</v>
      </c>
      <c r="BP34" s="72" t="s">
        <v>38</v>
      </c>
      <c r="BQ34" s="72" t="s">
        <v>39</v>
      </c>
      <c r="BR34" s="72" t="s">
        <v>40</v>
      </c>
      <c r="BS34" s="72" t="s">
        <v>36</v>
      </c>
      <c r="BT34" s="72" t="s">
        <v>17</v>
      </c>
      <c r="BU34" s="72" t="s">
        <v>41</v>
      </c>
      <c r="BV34" s="51"/>
      <c r="BW34" s="70" t="s">
        <v>167</v>
      </c>
      <c r="BX34" s="71" t="s">
        <v>35</v>
      </c>
      <c r="BY34" s="28"/>
      <c r="BZ34" s="72" t="s">
        <v>36</v>
      </c>
      <c r="CA34" s="72" t="s">
        <v>37</v>
      </c>
      <c r="CB34" s="72" t="s">
        <v>38</v>
      </c>
      <c r="CC34" s="72" t="s">
        <v>39</v>
      </c>
      <c r="CD34" s="72" t="s">
        <v>40</v>
      </c>
      <c r="CE34" s="72" t="s">
        <v>36</v>
      </c>
      <c r="CF34" s="72" t="s">
        <v>17</v>
      </c>
      <c r="CG34" s="72" t="s">
        <v>41</v>
      </c>
      <c r="CI34" s="70" t="s">
        <v>167</v>
      </c>
      <c r="CJ34" s="71" t="s">
        <v>35</v>
      </c>
      <c r="CK34" s="28"/>
      <c r="CL34" s="72" t="s">
        <v>36</v>
      </c>
      <c r="CM34" s="72" t="s">
        <v>37</v>
      </c>
      <c r="CN34" s="72" t="s">
        <v>38</v>
      </c>
      <c r="CO34" s="72" t="s">
        <v>39</v>
      </c>
      <c r="CP34" s="72" t="s">
        <v>40</v>
      </c>
      <c r="CQ34" s="72" t="s">
        <v>36</v>
      </c>
      <c r="CR34" s="72" t="s">
        <v>17</v>
      </c>
      <c r="CS34" s="72" t="s">
        <v>41</v>
      </c>
    </row>
    <row r="35" ht="30.0" customHeight="1">
      <c r="A35" s="51"/>
      <c r="B35" s="51"/>
      <c r="C35" s="17"/>
      <c r="D35" s="30"/>
      <c r="E35" s="31"/>
      <c r="F35" s="18"/>
      <c r="G35" s="18"/>
      <c r="H35" s="18"/>
      <c r="I35" s="18"/>
      <c r="J35" s="18"/>
      <c r="K35" s="18"/>
      <c r="L35" s="18"/>
      <c r="M35" s="18"/>
      <c r="N35" s="51"/>
      <c r="O35" s="17"/>
      <c r="P35" s="30"/>
      <c r="Q35" s="31"/>
      <c r="R35" s="18"/>
      <c r="S35" s="18"/>
      <c r="T35" s="18"/>
      <c r="U35" s="18"/>
      <c r="V35" s="18"/>
      <c r="W35" s="18"/>
      <c r="X35" s="18"/>
      <c r="Y35" s="18"/>
      <c r="Z35" s="51"/>
      <c r="AA35" s="17"/>
      <c r="AB35" s="30"/>
      <c r="AC35" s="31"/>
      <c r="AD35" s="18"/>
      <c r="AE35" s="18"/>
      <c r="AF35" s="18"/>
      <c r="AG35" s="18"/>
      <c r="AH35" s="18"/>
      <c r="AI35" s="18"/>
      <c r="AJ35" s="18"/>
      <c r="AK35" s="18"/>
      <c r="AL35" s="51"/>
      <c r="AM35" s="17"/>
      <c r="AN35" s="30"/>
      <c r="AO35" s="31"/>
      <c r="AP35" s="18"/>
      <c r="AQ35" s="18"/>
      <c r="AR35" s="18"/>
      <c r="AS35" s="18"/>
      <c r="AT35" s="18"/>
      <c r="AU35" s="18"/>
      <c r="AV35" s="18"/>
      <c r="AW35" s="18"/>
      <c r="AX35" s="51"/>
      <c r="AY35" s="17"/>
      <c r="AZ35" s="30"/>
      <c r="BA35" s="31"/>
      <c r="BB35" s="18"/>
      <c r="BC35" s="18"/>
      <c r="BD35" s="18"/>
      <c r="BE35" s="18"/>
      <c r="BF35" s="18"/>
      <c r="BG35" s="18"/>
      <c r="BH35" s="18"/>
      <c r="BI35" s="18"/>
      <c r="BJ35" s="51"/>
      <c r="BK35" s="17"/>
      <c r="BL35" s="30"/>
      <c r="BM35" s="31"/>
      <c r="BN35" s="18"/>
      <c r="BO35" s="18"/>
      <c r="BP35" s="18"/>
      <c r="BQ35" s="18"/>
      <c r="BR35" s="18"/>
      <c r="BS35" s="18"/>
      <c r="BT35" s="18"/>
      <c r="BU35" s="18"/>
      <c r="BV35" s="51"/>
      <c r="BW35" s="17"/>
      <c r="BX35" s="30"/>
      <c r="BY35" s="31"/>
      <c r="BZ35" s="18"/>
      <c r="CA35" s="18"/>
      <c r="CB35" s="18"/>
      <c r="CC35" s="18"/>
      <c r="CD35" s="18"/>
      <c r="CE35" s="18"/>
      <c r="CF35" s="18"/>
      <c r="CG35" s="18"/>
      <c r="CI35" s="17"/>
      <c r="CJ35" s="30"/>
      <c r="CK35" s="31"/>
      <c r="CL35" s="18"/>
      <c r="CM35" s="18"/>
      <c r="CN35" s="18"/>
      <c r="CO35" s="18"/>
      <c r="CP35" s="18"/>
      <c r="CQ35" s="18"/>
      <c r="CR35" s="18"/>
      <c r="CS35" s="18"/>
    </row>
    <row r="36" ht="30.0" customHeight="1">
      <c r="A36" s="51"/>
      <c r="B36" s="51"/>
      <c r="C36" s="17"/>
      <c r="D36" s="73" t="s">
        <v>169</v>
      </c>
      <c r="F36" s="74">
        <v>1.0</v>
      </c>
      <c r="G36" s="75" t="s">
        <v>43</v>
      </c>
      <c r="H36" s="73" t="s">
        <v>170</v>
      </c>
      <c r="I36" s="76" t="s">
        <v>171</v>
      </c>
      <c r="J36" s="77" t="s">
        <v>51</v>
      </c>
      <c r="K36" s="67">
        <f>IF(J36="نعم", 1, IF(J36="لا", 0, ""))</f>
        <v>1</v>
      </c>
      <c r="L36" s="75" t="s">
        <v>172</v>
      </c>
      <c r="M36" s="36" t="s">
        <v>173</v>
      </c>
      <c r="N36" s="51"/>
      <c r="O36" s="17"/>
      <c r="P36" s="73" t="s">
        <v>174</v>
      </c>
      <c r="R36" s="74">
        <v>0.25</v>
      </c>
      <c r="S36" s="75" t="s">
        <v>43</v>
      </c>
      <c r="T36" s="73" t="s">
        <v>175</v>
      </c>
      <c r="U36" s="68" t="s">
        <v>176</v>
      </c>
      <c r="V36" s="77" t="s">
        <v>51</v>
      </c>
      <c r="W36" s="67" t="str">
        <f>IF(V36="نعم"," 0.25", IF(V36="لا", 0, ""))</f>
        <v> 0.25</v>
      </c>
      <c r="X36" s="73" t="s">
        <v>177</v>
      </c>
      <c r="Y36" s="36" t="s">
        <v>178</v>
      </c>
      <c r="Z36" s="51"/>
      <c r="AA36" s="17"/>
      <c r="AB36" s="73" t="s">
        <v>179</v>
      </c>
      <c r="AD36" s="74">
        <v>2.0</v>
      </c>
      <c r="AE36" s="75" t="s">
        <v>43</v>
      </c>
      <c r="AF36" s="73" t="s">
        <v>118</v>
      </c>
      <c r="AG36" s="73" t="s">
        <v>180</v>
      </c>
      <c r="AH36" s="77" t="s">
        <v>51</v>
      </c>
      <c r="AI36" s="67">
        <f>IF(AH36="نعم", 1, IF(AH36="لا", 0, ""))</f>
        <v>1</v>
      </c>
      <c r="AJ36" s="67"/>
      <c r="AK36" s="38" t="s">
        <v>181</v>
      </c>
      <c r="AL36" s="51"/>
      <c r="AM36" s="17"/>
      <c r="AN36" s="73" t="s">
        <v>182</v>
      </c>
      <c r="AP36" s="74">
        <v>2.0</v>
      </c>
      <c r="AQ36" s="75" t="s">
        <v>43</v>
      </c>
      <c r="AR36" s="73" t="s">
        <v>118</v>
      </c>
      <c r="AS36" s="73" t="s">
        <v>183</v>
      </c>
      <c r="AT36" s="77" t="s">
        <v>184</v>
      </c>
      <c r="AU36" s="67">
        <f>IF(UPPER(TRIM(AT36))="نعم ٤ مرات فأكثر", 1, IF(UPPER(TRIM(AT36))="لا", 0, IF(UPPER(TRIM(AT36))="نعم", 0.5, "")))</f>
        <v>1</v>
      </c>
      <c r="AV36" s="73" t="s">
        <v>185</v>
      </c>
      <c r="AW36" s="38" t="s">
        <v>186</v>
      </c>
      <c r="AX36" s="51"/>
      <c r="AY36" s="17"/>
      <c r="AZ36" s="73" t="s">
        <v>187</v>
      </c>
      <c r="BB36" s="74">
        <v>1.0</v>
      </c>
      <c r="BC36" s="75" t="s">
        <v>43</v>
      </c>
      <c r="BD36" s="73" t="s">
        <v>170</v>
      </c>
      <c r="BE36" s="76" t="s">
        <v>188</v>
      </c>
      <c r="BF36" s="77" t="s">
        <v>51</v>
      </c>
      <c r="BG36" s="67">
        <f>IF(BF36="نعم", 1, IF(BF36="لا", 0, ""))</f>
        <v>1</v>
      </c>
      <c r="BH36" s="73" t="s">
        <v>189</v>
      </c>
      <c r="BI36" s="38" t="s">
        <v>190</v>
      </c>
      <c r="BJ36" s="51"/>
      <c r="BK36" s="17"/>
      <c r="BL36" s="73" t="s">
        <v>191</v>
      </c>
      <c r="BN36" s="74">
        <v>2.0</v>
      </c>
      <c r="BO36" s="75" t="s">
        <v>43</v>
      </c>
      <c r="BP36" s="73" t="s">
        <v>118</v>
      </c>
      <c r="BQ36" s="73" t="s">
        <v>192</v>
      </c>
      <c r="BR36" s="78" t="s">
        <v>51</v>
      </c>
      <c r="BS36" s="67">
        <f>IF(UPPER(TRIM(BR36))="نعم", 1, IF(UPPER(TRIM(BR36))="لا", 0, IF(UPPER(TRIM(BR36))="ناقص", 0.5, "")))</f>
        <v>1</v>
      </c>
      <c r="BT36" s="73" t="s">
        <v>193</v>
      </c>
      <c r="BU36" s="36" t="s">
        <v>194</v>
      </c>
      <c r="BV36" s="51"/>
      <c r="BW36" s="17"/>
      <c r="BX36" s="73" t="s">
        <v>195</v>
      </c>
      <c r="BZ36" s="74">
        <v>2.0</v>
      </c>
      <c r="CA36" s="75" t="s">
        <v>43</v>
      </c>
      <c r="CB36" s="73" t="s">
        <v>170</v>
      </c>
      <c r="CC36" s="68" t="s">
        <v>196</v>
      </c>
      <c r="CD36" s="77" t="s">
        <v>51</v>
      </c>
      <c r="CE36" s="67">
        <f>IF(CD36="نعم", 2, IF(CD36="لا", 0, ""))</f>
        <v>2</v>
      </c>
      <c r="CF36" s="73" t="s">
        <v>148</v>
      </c>
      <c r="CG36" s="38" t="s">
        <v>197</v>
      </c>
      <c r="CI36" s="17"/>
      <c r="CJ36" s="73" t="s">
        <v>198</v>
      </c>
      <c r="CL36" s="74">
        <v>0.5</v>
      </c>
      <c r="CM36" s="75" t="s">
        <v>43</v>
      </c>
      <c r="CN36" s="73" t="s">
        <v>170</v>
      </c>
      <c r="CO36" s="68" t="s">
        <v>199</v>
      </c>
      <c r="CP36" s="77" t="s">
        <v>51</v>
      </c>
      <c r="CQ36" s="67">
        <f>IF(CP36="نعم", 0.5, IF(CP36="لا", 0, ""))</f>
        <v>0.5</v>
      </c>
      <c r="CR36" s="73" t="s">
        <v>149</v>
      </c>
      <c r="CS36" s="38" t="s">
        <v>200</v>
      </c>
    </row>
    <row r="37" ht="30.0" customHeight="1">
      <c r="A37" s="51"/>
      <c r="B37" s="51"/>
      <c r="C37" s="17"/>
      <c r="J37" s="17"/>
      <c r="N37" s="51"/>
      <c r="O37" s="17"/>
      <c r="V37" s="17"/>
      <c r="Z37" s="51"/>
      <c r="AA37" s="17"/>
      <c r="AH37" s="17"/>
      <c r="AL37" s="51"/>
      <c r="AM37" s="17"/>
      <c r="AT37" s="17"/>
      <c r="AX37" s="51"/>
      <c r="AY37" s="17"/>
      <c r="BF37" s="17"/>
      <c r="BJ37" s="51"/>
      <c r="BK37" s="17"/>
      <c r="BR37" s="17"/>
      <c r="BV37" s="51"/>
      <c r="BW37" s="17"/>
      <c r="CD37" s="17"/>
      <c r="CI37" s="17"/>
      <c r="CP37" s="17"/>
    </row>
    <row r="38" ht="30.0" customHeight="1">
      <c r="A38" s="51"/>
      <c r="B38" s="51"/>
      <c r="C38" s="17"/>
      <c r="J38" s="17"/>
      <c r="N38" s="51"/>
      <c r="O38" s="17"/>
      <c r="V38" s="17"/>
      <c r="Z38" s="51"/>
      <c r="AA38" s="17"/>
      <c r="AH38" s="17"/>
      <c r="AL38" s="51"/>
      <c r="AM38" s="17"/>
      <c r="AT38" s="17"/>
      <c r="AX38" s="51"/>
      <c r="AY38" s="17"/>
      <c r="BF38" s="17"/>
      <c r="BJ38" s="51"/>
      <c r="BK38" s="17"/>
      <c r="BR38" s="17"/>
      <c r="BV38" s="51"/>
      <c r="BW38" s="17"/>
      <c r="CD38" s="17"/>
      <c r="CI38" s="17"/>
      <c r="CP38" s="17"/>
    </row>
    <row r="39" ht="66.75" customHeight="1">
      <c r="A39" s="51"/>
      <c r="B39" s="51"/>
      <c r="C39" s="17"/>
      <c r="J39" s="18"/>
      <c r="N39" s="51"/>
      <c r="O39" s="17"/>
      <c r="V39" s="18"/>
      <c r="Z39" s="51"/>
      <c r="AA39" s="17"/>
      <c r="AH39" s="18"/>
      <c r="AL39" s="51"/>
      <c r="AM39" s="17"/>
      <c r="AT39" s="18"/>
      <c r="AX39" s="51"/>
      <c r="AY39" s="17"/>
      <c r="BF39" s="18"/>
      <c r="BJ39" s="51"/>
      <c r="BK39" s="18"/>
      <c r="BR39" s="18"/>
      <c r="BV39" s="51"/>
      <c r="BW39" s="17"/>
      <c r="CD39" s="17"/>
      <c r="CI39" s="17"/>
      <c r="CP39" s="18"/>
    </row>
    <row r="40" ht="30.0" customHeight="1">
      <c r="A40" s="51"/>
      <c r="B40" s="51"/>
      <c r="C40" s="17"/>
      <c r="D40" s="73" t="s">
        <v>201</v>
      </c>
      <c r="I40" s="73" t="s">
        <v>202</v>
      </c>
      <c r="J40" s="79" t="s">
        <v>203</v>
      </c>
      <c r="K40" s="67">
        <f>IF(J40="تم تكليفه", 1, IF(J40="لم يتم تكليفه ", 0, ""))</f>
        <v>1</v>
      </c>
      <c r="N40" s="51"/>
      <c r="O40" s="17"/>
      <c r="P40" s="73" t="s">
        <v>204</v>
      </c>
      <c r="R40" s="74">
        <v>1.0</v>
      </c>
      <c r="U40" s="68" t="s">
        <v>205</v>
      </c>
      <c r="V40" s="77" t="s">
        <v>51</v>
      </c>
      <c r="W40" s="67" t="str">
        <f>IF(V40="نعم"," 1", IF(V40="لا", 0, ""))</f>
        <v> 1</v>
      </c>
      <c r="Z40" s="51"/>
      <c r="AA40" s="17"/>
      <c r="AB40" s="73" t="s">
        <v>206</v>
      </c>
      <c r="AH40" s="77" t="s">
        <v>51</v>
      </c>
      <c r="AI40" s="67">
        <f>IF(AH40="نعم", 1, IF(AH40="لا", 0, ""))</f>
        <v>1</v>
      </c>
      <c r="AJ40" s="67"/>
      <c r="AK40" s="38" t="s">
        <v>207</v>
      </c>
      <c r="AL40" s="51"/>
      <c r="AM40" s="17"/>
      <c r="AN40" s="73" t="s">
        <v>208</v>
      </c>
      <c r="AP40" s="74">
        <v>1.0</v>
      </c>
      <c r="AT40" s="79" t="s">
        <v>51</v>
      </c>
      <c r="AU40" s="67">
        <f>IF(AT40="نعم", 1, IF(AT40="لا ", 0, ""))</f>
        <v>1</v>
      </c>
      <c r="AV40" s="73" t="s">
        <v>209</v>
      </c>
      <c r="AX40" s="51"/>
      <c r="AY40" s="17"/>
      <c r="AZ40" s="73" t="s">
        <v>210</v>
      </c>
      <c r="BE40" s="73" t="s">
        <v>211</v>
      </c>
      <c r="BF40" s="79" t="s">
        <v>51</v>
      </c>
      <c r="BG40" s="67">
        <f>IF(BF40="نعم", 1, IF(BF40="لا", 0, ""))</f>
        <v>1</v>
      </c>
      <c r="BJ40" s="51"/>
      <c r="BK40" s="80"/>
      <c r="BL40" s="81"/>
      <c r="BM40" s="81"/>
      <c r="BN40" s="82"/>
      <c r="BO40" s="83"/>
      <c r="BP40" s="81"/>
      <c r="BQ40" s="81"/>
      <c r="BR40" s="51"/>
      <c r="BS40" s="83" t="str">
        <f>IF(BR40="نعم", 1, IF(BR40="لا ", 0, ""))</f>
        <v/>
      </c>
      <c r="BT40" s="83"/>
      <c r="BU40" s="84"/>
      <c r="BV40" s="51"/>
      <c r="BW40" s="17"/>
      <c r="CD40" s="17"/>
      <c r="CI40" s="17"/>
      <c r="CJ40" s="73" t="s">
        <v>212</v>
      </c>
      <c r="CO40" s="68" t="s">
        <v>213</v>
      </c>
      <c r="CP40" s="79" t="s">
        <v>51</v>
      </c>
      <c r="CQ40" s="67">
        <f>IF(CP40="نعم", 0.5, IF(CP40="لا", 0, ""))</f>
        <v>0.5</v>
      </c>
      <c r="CS40" s="38" t="s">
        <v>214</v>
      </c>
    </row>
    <row r="41" ht="30.0" customHeight="1">
      <c r="A41" s="51"/>
      <c r="B41" s="51"/>
      <c r="C41" s="17"/>
      <c r="J41" s="17"/>
      <c r="N41" s="51"/>
      <c r="O41" s="17"/>
      <c r="V41" s="17"/>
      <c r="Z41" s="51"/>
      <c r="AA41" s="17"/>
      <c r="AG41" s="73" t="s">
        <v>215</v>
      </c>
      <c r="AH41" s="17"/>
      <c r="AL41" s="51"/>
      <c r="AM41" s="17"/>
      <c r="AT41" s="17"/>
      <c r="AX41" s="51"/>
      <c r="AY41" s="17"/>
      <c r="BF41" s="17"/>
      <c r="BJ41" s="51"/>
      <c r="BK41" s="80"/>
      <c r="BL41" s="81"/>
      <c r="BM41" s="81"/>
      <c r="BN41" s="82"/>
      <c r="BO41" s="83"/>
      <c r="BP41" s="81"/>
      <c r="BQ41" s="81"/>
      <c r="BR41" s="51"/>
      <c r="BS41" s="83"/>
      <c r="BT41" s="83"/>
      <c r="BU41" s="84"/>
      <c r="BV41" s="51"/>
      <c r="BW41" s="17"/>
      <c r="CD41" s="17"/>
      <c r="CI41" s="17"/>
      <c r="CP41" s="17"/>
    </row>
    <row r="42" ht="30.0" customHeight="1">
      <c r="A42" s="51"/>
      <c r="B42" s="51"/>
      <c r="C42" s="17"/>
      <c r="J42" s="17"/>
      <c r="N42" s="51"/>
      <c r="O42" s="17"/>
      <c r="V42" s="17"/>
      <c r="Z42" s="51"/>
      <c r="AA42" s="17"/>
      <c r="AH42" s="17"/>
      <c r="AL42" s="51"/>
      <c r="AM42" s="17"/>
      <c r="AT42" s="17"/>
      <c r="AX42" s="51"/>
      <c r="AY42" s="17"/>
      <c r="BF42" s="17"/>
      <c r="BJ42" s="51"/>
      <c r="BK42" s="80"/>
      <c r="BL42" s="81"/>
      <c r="BM42" s="81"/>
      <c r="BN42" s="82"/>
      <c r="BO42" s="83"/>
      <c r="BP42" s="81"/>
      <c r="BQ42" s="81"/>
      <c r="BR42" s="51"/>
      <c r="BS42" s="83"/>
      <c r="BT42" s="83"/>
      <c r="BU42" s="84"/>
      <c r="BV42" s="51"/>
      <c r="BW42" s="17"/>
      <c r="CD42" s="17"/>
      <c r="CI42" s="17"/>
      <c r="CP42" s="17"/>
    </row>
    <row r="43" ht="30.0" customHeight="1">
      <c r="A43" s="51"/>
      <c r="B43" s="51"/>
      <c r="C43" s="17"/>
      <c r="J43" s="17"/>
      <c r="N43" s="51"/>
      <c r="O43" s="17"/>
      <c r="V43" s="18"/>
      <c r="Z43" s="51"/>
      <c r="AA43" s="17"/>
      <c r="AH43" s="17"/>
      <c r="AL43" s="51"/>
      <c r="AM43" s="17"/>
      <c r="AT43" s="17"/>
      <c r="AX43" s="51"/>
      <c r="AY43" s="17"/>
      <c r="BF43" s="17"/>
      <c r="BJ43" s="51"/>
      <c r="BK43" s="80"/>
      <c r="BL43" s="81"/>
      <c r="BM43" s="81"/>
      <c r="BN43" s="82"/>
      <c r="BO43" s="83"/>
      <c r="BP43" s="81"/>
      <c r="BQ43" s="81"/>
      <c r="BR43" s="51"/>
      <c r="BS43" s="83"/>
      <c r="BT43" s="83"/>
      <c r="BU43" s="84"/>
      <c r="BV43" s="51"/>
      <c r="BW43" s="17"/>
      <c r="CD43" s="17"/>
      <c r="CI43" s="17"/>
      <c r="CP43" s="17"/>
    </row>
    <row r="44" ht="30.0" customHeight="1">
      <c r="A44" s="51"/>
      <c r="B44" s="51"/>
      <c r="C44" s="17"/>
      <c r="J44" s="18"/>
      <c r="N44" s="51"/>
      <c r="O44" s="17"/>
      <c r="P44" s="73" t="s">
        <v>216</v>
      </c>
      <c r="R44" s="74">
        <v>0.2</v>
      </c>
      <c r="U44" s="68" t="s">
        <v>217</v>
      </c>
      <c r="V44" s="77" t="s">
        <v>51</v>
      </c>
      <c r="W44" s="67" t="str">
        <f>IF(V44="نعم"," 0.20", IF(V44="لا", 0, ""))</f>
        <v> 0.20</v>
      </c>
      <c r="Z44" s="51"/>
      <c r="AA44" s="17"/>
      <c r="AH44" s="18"/>
      <c r="AL44" s="51"/>
      <c r="AM44" s="18"/>
      <c r="AT44" s="18"/>
      <c r="AX44" s="51"/>
      <c r="AY44" s="17"/>
      <c r="BF44" s="18"/>
      <c r="BJ44" s="51"/>
      <c r="BK44" s="80"/>
      <c r="BL44" s="81"/>
      <c r="BM44" s="81"/>
      <c r="BN44" s="82"/>
      <c r="BO44" s="83"/>
      <c r="BP44" s="81"/>
      <c r="BQ44" s="81"/>
      <c r="BR44" s="51"/>
      <c r="BS44" s="83"/>
      <c r="BT44" s="83"/>
      <c r="BU44" s="84"/>
      <c r="BV44" s="51"/>
      <c r="BW44" s="17"/>
      <c r="CD44" s="18"/>
      <c r="CI44" s="17"/>
      <c r="CP44" s="18"/>
    </row>
    <row r="45" ht="30.0" customHeight="1">
      <c r="A45" s="51"/>
      <c r="B45" s="51"/>
      <c r="C45" s="17"/>
      <c r="D45" s="73" t="s">
        <v>218</v>
      </c>
      <c r="F45" s="74">
        <v>1.0</v>
      </c>
      <c r="I45" s="73" t="s">
        <v>219</v>
      </c>
      <c r="J45" s="75" t="s">
        <v>51</v>
      </c>
      <c r="K45" s="67">
        <f>IF(J45="نعم", 1, IF(J45="لا", 0, ""))</f>
        <v>1</v>
      </c>
      <c r="L45" s="85" t="s">
        <v>220</v>
      </c>
      <c r="M45" s="38" t="s">
        <v>221</v>
      </c>
      <c r="N45" s="51"/>
      <c r="O45" s="17"/>
      <c r="V45" s="17"/>
      <c r="Z45" s="51"/>
      <c r="AA45" s="17"/>
      <c r="AB45" s="73" t="s">
        <v>222</v>
      </c>
      <c r="AD45" s="74">
        <v>1.0</v>
      </c>
      <c r="AG45" s="73" t="s">
        <v>223</v>
      </c>
      <c r="AH45" s="77" t="s">
        <v>51</v>
      </c>
      <c r="AI45" s="67">
        <f>IF(AH45="نعم", 1, IF(AH45="لا", 0, ""))</f>
        <v>1</v>
      </c>
      <c r="AJ45" s="53"/>
      <c r="AK45" s="38" t="s">
        <v>224</v>
      </c>
      <c r="AL45" s="51"/>
      <c r="AM45" s="51"/>
      <c r="AN45" s="51"/>
      <c r="AO45" s="51"/>
      <c r="AP45" s="51"/>
      <c r="AQ45" s="51"/>
      <c r="AR45" s="51"/>
      <c r="AS45" s="51"/>
      <c r="AT45" s="51"/>
      <c r="AU45" s="51"/>
      <c r="AV45" s="51"/>
      <c r="AW45" s="51"/>
      <c r="AX45" s="51"/>
      <c r="AY45" s="17"/>
      <c r="AZ45" s="73" t="s">
        <v>225</v>
      </c>
      <c r="BB45" s="74">
        <v>1.0</v>
      </c>
      <c r="BE45" s="73" t="s">
        <v>226</v>
      </c>
      <c r="BF45" s="75" t="s">
        <v>51</v>
      </c>
      <c r="BG45" s="67">
        <f>IF(BF45="نعم", 1, IF(BF45="لا", 0, ""))</f>
        <v>1</v>
      </c>
      <c r="BI45" s="38" t="s">
        <v>227</v>
      </c>
      <c r="BJ45" s="51"/>
      <c r="BK45" s="51"/>
      <c r="BL45" s="51"/>
      <c r="BM45" s="51"/>
      <c r="BN45" s="51"/>
      <c r="BO45" s="51"/>
      <c r="BP45" s="51"/>
      <c r="BQ45" s="51"/>
      <c r="BR45" s="51"/>
      <c r="BS45" s="51"/>
      <c r="BT45" s="51"/>
      <c r="BU45" s="51"/>
      <c r="BV45" s="51"/>
      <c r="BW45" s="17"/>
      <c r="BX45" s="73" t="s">
        <v>228</v>
      </c>
      <c r="BZ45" s="74">
        <v>1.0</v>
      </c>
      <c r="CC45" s="68" t="s">
        <v>229</v>
      </c>
      <c r="CD45" s="75" t="s">
        <v>51</v>
      </c>
      <c r="CE45" s="67">
        <f>IF(CD45="نعم", 1, IF(CD45="لا", 0, ""))</f>
        <v>1</v>
      </c>
      <c r="CI45" s="17"/>
      <c r="CJ45" s="73" t="s">
        <v>230</v>
      </c>
      <c r="CO45" s="68" t="s">
        <v>231</v>
      </c>
      <c r="CP45" s="75" t="s">
        <v>51</v>
      </c>
      <c r="CQ45" s="67">
        <f>IF(CP45="نعم", 0.5, IF(CP45="لا", 0, ""))</f>
        <v>0.5</v>
      </c>
      <c r="CS45" s="38" t="s">
        <v>232</v>
      </c>
    </row>
    <row r="46" ht="30.0" customHeight="1">
      <c r="A46" s="51"/>
      <c r="B46" s="51"/>
      <c r="C46" s="17"/>
      <c r="N46" s="51"/>
      <c r="O46" s="17"/>
      <c r="V46" s="17"/>
      <c r="Z46" s="51"/>
      <c r="AA46" s="17"/>
      <c r="AH46" s="17"/>
      <c r="AL46" s="51"/>
      <c r="AM46" s="51"/>
      <c r="AN46" s="51"/>
      <c r="AO46" s="51"/>
      <c r="AP46" s="51"/>
      <c r="AQ46" s="51"/>
      <c r="AR46" s="51"/>
      <c r="AS46" s="51"/>
      <c r="AT46" s="51"/>
      <c r="AU46" s="51"/>
      <c r="AV46" s="51"/>
      <c r="AW46" s="51"/>
      <c r="AX46" s="51"/>
      <c r="AY46" s="17"/>
      <c r="BJ46" s="51"/>
      <c r="BK46" s="51"/>
      <c r="BL46" s="51"/>
      <c r="BM46" s="51"/>
      <c r="BN46" s="51"/>
      <c r="BO46" s="51"/>
      <c r="BP46" s="51"/>
      <c r="BQ46" s="51"/>
      <c r="BR46" s="51"/>
      <c r="BS46" s="51"/>
      <c r="BT46" s="51"/>
      <c r="BU46" s="51"/>
      <c r="BV46" s="51"/>
      <c r="BW46" s="17"/>
      <c r="CI46" s="17"/>
    </row>
    <row r="47" ht="30.0" customHeight="1">
      <c r="A47" s="51"/>
      <c r="B47" s="51"/>
      <c r="C47" s="17"/>
      <c r="N47" s="51"/>
      <c r="O47" s="17"/>
      <c r="V47" s="18"/>
      <c r="Z47" s="51"/>
      <c r="AA47" s="17"/>
      <c r="AH47" s="17"/>
      <c r="AL47" s="51"/>
      <c r="AM47" s="51"/>
      <c r="AN47" s="51"/>
      <c r="AO47" s="51"/>
      <c r="AP47" s="51"/>
      <c r="AQ47" s="51"/>
      <c r="AR47" s="51"/>
      <c r="AS47" s="51"/>
      <c r="AT47" s="51"/>
      <c r="AU47" s="51"/>
      <c r="AV47" s="51"/>
      <c r="AW47" s="51"/>
      <c r="AX47" s="51"/>
      <c r="AY47" s="17"/>
      <c r="BJ47" s="51"/>
      <c r="BK47" s="51"/>
      <c r="BL47" s="51"/>
      <c r="BM47" s="51"/>
      <c r="BN47" s="51"/>
      <c r="BO47" s="51"/>
      <c r="BP47" s="51"/>
      <c r="BQ47" s="51"/>
      <c r="BR47" s="51"/>
      <c r="BS47" s="51"/>
      <c r="BT47" s="51"/>
      <c r="BU47" s="51"/>
      <c r="BV47" s="51"/>
      <c r="BW47" s="17"/>
      <c r="CI47" s="17"/>
    </row>
    <row r="48" ht="30.0" customHeight="1">
      <c r="A48" s="51"/>
      <c r="B48" s="51"/>
      <c r="C48" s="17"/>
      <c r="N48" s="51"/>
      <c r="O48" s="17"/>
      <c r="P48" s="73" t="s">
        <v>233</v>
      </c>
      <c r="R48" s="74">
        <v>0.2</v>
      </c>
      <c r="U48" s="68" t="s">
        <v>234</v>
      </c>
      <c r="V48" s="79" t="s">
        <v>51</v>
      </c>
      <c r="W48" s="67" t="str">
        <f>IF(V48="نعم"," 0.20", IF(V48="لا", 0, ""))</f>
        <v> 0.20</v>
      </c>
      <c r="Z48" s="51"/>
      <c r="AA48" s="18"/>
      <c r="AH48" s="18"/>
      <c r="AL48" s="51"/>
      <c r="AM48" s="51"/>
      <c r="AN48" s="51"/>
      <c r="AO48" s="51"/>
      <c r="AP48" s="51"/>
      <c r="AQ48" s="51"/>
      <c r="AR48" s="51"/>
      <c r="AS48" s="51"/>
      <c r="AT48" s="51"/>
      <c r="AU48" s="51"/>
      <c r="AV48" s="51"/>
      <c r="AW48" s="51"/>
      <c r="AX48" s="51"/>
      <c r="AY48" s="17"/>
      <c r="BJ48" s="51"/>
      <c r="BK48" s="51"/>
      <c r="BL48" s="51"/>
      <c r="BM48" s="51"/>
      <c r="BN48" s="51"/>
      <c r="BO48" s="51"/>
      <c r="BP48" s="51"/>
      <c r="BQ48" s="51"/>
      <c r="BR48" s="51"/>
      <c r="BS48" s="51"/>
      <c r="BT48" s="51"/>
      <c r="BU48" s="51"/>
      <c r="BV48" s="51"/>
      <c r="BW48" s="17"/>
      <c r="CI48" s="17"/>
    </row>
    <row r="49" ht="30.0" customHeight="1">
      <c r="A49" s="51"/>
      <c r="B49" s="51"/>
      <c r="C49" s="17"/>
      <c r="N49" s="51"/>
      <c r="O49" s="17"/>
      <c r="V49" s="17"/>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17"/>
      <c r="BJ49" s="51"/>
      <c r="BK49" s="51"/>
      <c r="BL49" s="51"/>
      <c r="BM49" s="51"/>
      <c r="BN49" s="51"/>
      <c r="BO49" s="51"/>
      <c r="BP49" s="51"/>
      <c r="BQ49" s="51"/>
      <c r="BR49" s="51"/>
      <c r="BS49" s="51"/>
      <c r="BT49" s="51"/>
      <c r="BU49" s="51"/>
      <c r="BV49" s="51"/>
      <c r="BW49" s="17"/>
      <c r="CI49" s="17"/>
    </row>
    <row r="50" ht="30.0" customHeight="1">
      <c r="A50" s="51"/>
      <c r="B50" s="51"/>
      <c r="C50" s="17"/>
      <c r="D50" s="73" t="s">
        <v>235</v>
      </c>
      <c r="I50" s="73" t="s">
        <v>236</v>
      </c>
      <c r="J50" s="75" t="s">
        <v>51</v>
      </c>
      <c r="K50" s="67">
        <f>IF(J50="نعم", 1, IF(J50="لا", 0, ""))</f>
        <v>1</v>
      </c>
      <c r="N50" s="51"/>
      <c r="O50" s="17"/>
      <c r="V50" s="17"/>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17"/>
      <c r="AZ50" s="73" t="s">
        <v>210</v>
      </c>
      <c r="BE50" s="73" t="s">
        <v>211</v>
      </c>
      <c r="BF50" s="75" t="s">
        <v>51</v>
      </c>
      <c r="BG50" s="67">
        <f>IF(BF50="نعم", 1, IF(BF50="لا", 0, ""))</f>
        <v>1</v>
      </c>
      <c r="BJ50" s="51"/>
      <c r="BK50" s="51"/>
      <c r="BL50" s="51"/>
      <c r="BM50" s="51"/>
      <c r="BN50" s="51"/>
      <c r="BO50" s="51"/>
      <c r="BP50" s="51"/>
      <c r="BQ50" s="51"/>
      <c r="BR50" s="51"/>
      <c r="BS50" s="51"/>
      <c r="BT50" s="51"/>
      <c r="BU50" s="51"/>
      <c r="BV50" s="51"/>
      <c r="BW50" s="17"/>
      <c r="BX50" s="73" t="s">
        <v>237</v>
      </c>
      <c r="CC50" s="68" t="s">
        <v>238</v>
      </c>
      <c r="CD50" s="75" t="s">
        <v>51</v>
      </c>
      <c r="CE50" s="67">
        <f>IF(CD50="نعم", 1, IF(CD50="لا", 0, ""))</f>
        <v>1</v>
      </c>
      <c r="CG50" s="38" t="s">
        <v>239</v>
      </c>
      <c r="CI50" s="17"/>
      <c r="CJ50" s="73" t="s">
        <v>240</v>
      </c>
      <c r="CL50" s="74">
        <v>0.5</v>
      </c>
      <c r="CO50" s="68" t="s">
        <v>241</v>
      </c>
      <c r="CP50" s="75" t="s">
        <v>51</v>
      </c>
      <c r="CQ50" s="67">
        <f>IF(CP50="نعم", 0.5, IF(CP50="لا", 0, ""))</f>
        <v>0.5</v>
      </c>
      <c r="CS50" s="38" t="s">
        <v>242</v>
      </c>
    </row>
    <row r="51" ht="30.0" customHeight="1">
      <c r="A51" s="51"/>
      <c r="B51" s="51"/>
      <c r="C51" s="17"/>
      <c r="N51" s="51"/>
      <c r="O51" s="17"/>
      <c r="V51" s="17"/>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17"/>
      <c r="BJ51" s="51"/>
      <c r="BK51" s="51"/>
      <c r="BL51" s="51"/>
      <c r="BM51" s="51"/>
      <c r="BN51" s="51"/>
      <c r="BO51" s="51"/>
      <c r="BP51" s="51"/>
      <c r="BQ51" s="51"/>
      <c r="BR51" s="51"/>
      <c r="BS51" s="51"/>
      <c r="BT51" s="51"/>
      <c r="BU51" s="51"/>
      <c r="BV51" s="51"/>
      <c r="BW51" s="17"/>
      <c r="CI51" s="17"/>
    </row>
    <row r="52" ht="30.0" customHeight="1">
      <c r="A52" s="51"/>
      <c r="B52" s="51"/>
      <c r="C52" s="17"/>
      <c r="N52" s="51"/>
      <c r="O52" s="17"/>
      <c r="V52" s="18"/>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17"/>
      <c r="BJ52" s="51"/>
      <c r="BK52" s="51"/>
      <c r="BL52" s="51"/>
      <c r="BM52" s="51"/>
      <c r="BN52" s="51"/>
      <c r="BO52" s="51"/>
      <c r="BP52" s="51"/>
      <c r="BQ52" s="51"/>
      <c r="BR52" s="51"/>
      <c r="BS52" s="51"/>
      <c r="BT52" s="51"/>
      <c r="BU52" s="51"/>
      <c r="BV52" s="51"/>
      <c r="BW52" s="17"/>
      <c r="CI52" s="17"/>
    </row>
    <row r="53" ht="30.0" customHeight="1">
      <c r="A53" s="51"/>
      <c r="B53" s="51"/>
      <c r="C53" s="17"/>
      <c r="N53" s="51"/>
      <c r="O53" s="17"/>
      <c r="P53" s="73" t="s">
        <v>243</v>
      </c>
      <c r="R53" s="74">
        <v>0.2</v>
      </c>
      <c r="U53" s="68" t="s">
        <v>244</v>
      </c>
      <c r="V53" s="79" t="s">
        <v>51</v>
      </c>
      <c r="W53" s="67" t="str">
        <f>IF(V53="نعم"," 0.20", IF(V53="لا", 0, ""))</f>
        <v> 0.20</v>
      </c>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17"/>
      <c r="BJ53" s="51"/>
      <c r="BK53" s="51"/>
      <c r="BL53" s="51"/>
      <c r="BM53" s="51"/>
      <c r="BN53" s="51"/>
      <c r="BO53" s="51"/>
      <c r="BP53" s="51"/>
      <c r="BQ53" s="51"/>
      <c r="BR53" s="51"/>
      <c r="BS53" s="51"/>
      <c r="BT53" s="51"/>
      <c r="BU53" s="51"/>
      <c r="BV53" s="51"/>
      <c r="BW53" s="17"/>
      <c r="CI53" s="17"/>
    </row>
    <row r="54" ht="30.0" customHeight="1">
      <c r="A54" s="51"/>
      <c r="B54" s="51"/>
      <c r="C54" s="17"/>
      <c r="D54" s="73" t="s">
        <v>245</v>
      </c>
      <c r="F54" s="74">
        <v>1.0</v>
      </c>
      <c r="I54" s="73" t="s">
        <v>246</v>
      </c>
      <c r="J54" s="75" t="s">
        <v>51</v>
      </c>
      <c r="K54" s="67">
        <f>IF(J54="نعم", 1, IF(J54="لا", 0, ""))</f>
        <v>1</v>
      </c>
      <c r="L54" s="86" t="s">
        <v>247</v>
      </c>
      <c r="M54" s="38" t="s">
        <v>248</v>
      </c>
      <c r="N54" s="51"/>
      <c r="O54" s="17"/>
      <c r="V54" s="17"/>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17"/>
      <c r="AZ54" s="73" t="s">
        <v>249</v>
      </c>
      <c r="BB54" s="74">
        <v>1.0</v>
      </c>
      <c r="BE54" s="73" t="s">
        <v>250</v>
      </c>
      <c r="BF54" s="75" t="s">
        <v>51</v>
      </c>
      <c r="BG54" s="67">
        <f>IF(BF54="نعم", 1, IF(BF54="لا", 0, ""))</f>
        <v>1</v>
      </c>
      <c r="BI54" s="38" t="s">
        <v>251</v>
      </c>
      <c r="BJ54" s="51"/>
      <c r="BK54" s="51"/>
      <c r="BL54" s="51"/>
      <c r="BM54" s="51"/>
      <c r="BN54" s="51"/>
      <c r="BO54" s="51"/>
      <c r="BP54" s="51"/>
      <c r="BQ54" s="51"/>
      <c r="BR54" s="51"/>
      <c r="BS54" s="51"/>
      <c r="BT54" s="51"/>
      <c r="BU54" s="51"/>
      <c r="BV54" s="51"/>
      <c r="BW54" s="17"/>
      <c r="BX54" s="73" t="s">
        <v>252</v>
      </c>
      <c r="BZ54" s="74">
        <v>1.0</v>
      </c>
      <c r="CC54" s="68" t="s">
        <v>253</v>
      </c>
      <c r="CD54" s="75" t="s">
        <v>51</v>
      </c>
      <c r="CE54" s="67">
        <f>IF(CD54="نعم", 1, IF(CD54="لا", 0, ""))</f>
        <v>1</v>
      </c>
      <c r="CG54" s="38" t="s">
        <v>254</v>
      </c>
      <c r="CI54" s="17"/>
      <c r="CJ54" s="73" t="s">
        <v>255</v>
      </c>
      <c r="CL54" s="74">
        <v>0.5</v>
      </c>
      <c r="CO54" s="68" t="s">
        <v>256</v>
      </c>
      <c r="CP54" s="75" t="s">
        <v>51</v>
      </c>
      <c r="CQ54" s="67">
        <f>IF(CP54="نعم", 0.5, IF(CP54="لا", 0, ""))</f>
        <v>0.5</v>
      </c>
      <c r="CS54" s="38" t="s">
        <v>257</v>
      </c>
    </row>
    <row r="55" ht="30.0" customHeight="1">
      <c r="A55" s="51"/>
      <c r="B55" s="51"/>
      <c r="C55" s="17"/>
      <c r="N55" s="51"/>
      <c r="O55" s="17"/>
      <c r="V55" s="17"/>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17"/>
      <c r="BJ55" s="51"/>
      <c r="BK55" s="51"/>
      <c r="BL55" s="51"/>
      <c r="BM55" s="51"/>
      <c r="BN55" s="51"/>
      <c r="BO55" s="51"/>
      <c r="BP55" s="51"/>
      <c r="BQ55" s="51"/>
      <c r="BR55" s="51"/>
      <c r="BS55" s="51"/>
      <c r="BT55" s="51"/>
      <c r="BU55" s="51"/>
      <c r="BV55" s="51"/>
      <c r="BW55" s="17"/>
      <c r="CI55" s="17"/>
    </row>
    <row r="56" ht="30.0" customHeight="1">
      <c r="A56" s="51"/>
      <c r="B56" s="51"/>
      <c r="C56" s="17"/>
      <c r="N56" s="51"/>
      <c r="O56" s="17"/>
      <c r="V56" s="18"/>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17"/>
      <c r="BJ56" s="51"/>
      <c r="BK56" s="51"/>
      <c r="BL56" s="51"/>
      <c r="BM56" s="51"/>
      <c r="BN56" s="51"/>
      <c r="BO56" s="51"/>
      <c r="BP56" s="51"/>
      <c r="BQ56" s="51"/>
      <c r="BR56" s="51"/>
      <c r="BS56" s="51"/>
      <c r="BT56" s="51"/>
      <c r="BU56" s="51"/>
      <c r="BV56" s="51"/>
      <c r="BW56" s="17"/>
      <c r="CI56" s="17"/>
    </row>
    <row r="57" ht="30.0" customHeight="1">
      <c r="A57" s="51"/>
      <c r="B57" s="51"/>
      <c r="C57" s="18"/>
      <c r="N57" s="51"/>
      <c r="O57" s="17"/>
      <c r="P57" s="73" t="s">
        <v>258</v>
      </c>
      <c r="R57" s="74">
        <v>0.5</v>
      </c>
      <c r="U57" s="68" t="s">
        <v>259</v>
      </c>
      <c r="V57" s="79" t="s">
        <v>51</v>
      </c>
      <c r="W57" s="67" t="str">
        <f>IF(V57="نعم"," 0.50", IF(V57="لا", 0, ""))</f>
        <v> 0.50</v>
      </c>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17"/>
      <c r="BJ57" s="51"/>
      <c r="BK57" s="51"/>
      <c r="BL57" s="51"/>
      <c r="BM57" s="51"/>
      <c r="BN57" s="51"/>
      <c r="BO57" s="51"/>
      <c r="BP57" s="51"/>
      <c r="BQ57" s="51"/>
      <c r="BR57" s="51"/>
      <c r="BS57" s="51"/>
      <c r="BT57" s="51"/>
      <c r="BU57" s="51"/>
      <c r="BV57" s="51"/>
      <c r="BW57" s="17"/>
      <c r="CI57" s="17"/>
    </row>
    <row r="58" ht="30.0" customHeight="1">
      <c r="A58" s="51"/>
      <c r="B58" s="51"/>
      <c r="C58" s="51"/>
      <c r="D58" s="51"/>
      <c r="E58" s="51"/>
      <c r="F58" s="51"/>
      <c r="G58" s="51"/>
      <c r="H58" s="51"/>
      <c r="I58" s="51"/>
      <c r="J58" s="51"/>
      <c r="K58" s="51"/>
      <c r="L58" s="51"/>
      <c r="M58" s="51"/>
      <c r="N58" s="51"/>
      <c r="O58" s="17"/>
      <c r="V58" s="17"/>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17"/>
      <c r="AZ58" s="75" t="s">
        <v>210</v>
      </c>
      <c r="BE58" s="73" t="s">
        <v>211</v>
      </c>
      <c r="BF58" s="75" t="s">
        <v>51</v>
      </c>
      <c r="BG58" s="67">
        <f>IF(BF58="نعم", 1, IF(BF58="لا", 0, ""))</f>
        <v>1</v>
      </c>
      <c r="BJ58" s="51"/>
      <c r="BK58" s="51"/>
      <c r="BL58" s="51"/>
      <c r="BM58" s="51"/>
      <c r="BN58" s="51"/>
      <c r="BO58" s="51"/>
      <c r="BP58" s="51"/>
      <c r="BQ58" s="51"/>
      <c r="BR58" s="51"/>
      <c r="BS58" s="51"/>
      <c r="BT58" s="51"/>
      <c r="BU58" s="51"/>
      <c r="BV58" s="51"/>
      <c r="BW58" s="17"/>
      <c r="BX58" s="73" t="s">
        <v>260</v>
      </c>
      <c r="BZ58" s="74">
        <v>2.0</v>
      </c>
      <c r="CC58" s="68" t="s">
        <v>261</v>
      </c>
      <c r="CD58" s="75" t="s">
        <v>51</v>
      </c>
      <c r="CE58" s="67">
        <f>IF(CD58="نعم", 2, IF(CD58="لا", 0, ""))</f>
        <v>2</v>
      </c>
      <c r="CG58" s="38" t="s">
        <v>262</v>
      </c>
      <c r="CI58" s="17"/>
      <c r="CJ58" s="73" t="s">
        <v>263</v>
      </c>
      <c r="CO58" s="68" t="s">
        <v>264</v>
      </c>
      <c r="CP58" s="75" t="s">
        <v>51</v>
      </c>
      <c r="CQ58" s="67">
        <f>IF(CP58="نعم", 0.5, IF(CP58="لا", 0, ""))</f>
        <v>0.5</v>
      </c>
      <c r="CS58" s="38" t="s">
        <v>265</v>
      </c>
    </row>
    <row r="59" ht="30.0" customHeight="1">
      <c r="A59" s="51"/>
      <c r="B59" s="51"/>
      <c r="C59" s="51"/>
      <c r="D59" s="51"/>
      <c r="E59" s="51"/>
      <c r="F59" s="51"/>
      <c r="G59" s="51"/>
      <c r="H59" s="51"/>
      <c r="I59" s="51"/>
      <c r="J59" s="51"/>
      <c r="K59" s="51"/>
      <c r="L59" s="51"/>
      <c r="M59" s="51"/>
      <c r="N59" s="51"/>
      <c r="O59" s="17"/>
      <c r="V59" s="17"/>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17"/>
      <c r="BJ59" s="51"/>
      <c r="BK59" s="51"/>
      <c r="BL59" s="51"/>
      <c r="BM59" s="51"/>
      <c r="BN59" s="51"/>
      <c r="BO59" s="51"/>
      <c r="BP59" s="51"/>
      <c r="BQ59" s="51"/>
      <c r="BR59" s="51"/>
      <c r="BS59" s="51"/>
      <c r="BT59" s="51"/>
      <c r="BU59" s="51"/>
      <c r="BV59" s="51"/>
      <c r="BW59" s="17"/>
      <c r="CI59" s="17"/>
    </row>
    <row r="60" ht="30.0" customHeight="1">
      <c r="A60" s="51"/>
      <c r="B60" s="51"/>
      <c r="C60" s="51"/>
      <c r="D60" s="51"/>
      <c r="E60" s="51"/>
      <c r="F60" s="51"/>
      <c r="G60" s="51"/>
      <c r="H60" s="51"/>
      <c r="I60" s="51"/>
      <c r="J60" s="51"/>
      <c r="K60" s="51"/>
      <c r="L60" s="51"/>
      <c r="M60" s="51"/>
      <c r="N60" s="51"/>
      <c r="O60" s="17"/>
      <c r="V60" s="17"/>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17"/>
      <c r="BJ60" s="51"/>
      <c r="BK60" s="51"/>
      <c r="BL60" s="51"/>
      <c r="BM60" s="51"/>
      <c r="BN60" s="51"/>
      <c r="BO60" s="51"/>
      <c r="BP60" s="51"/>
      <c r="BQ60" s="51"/>
      <c r="BR60" s="51"/>
      <c r="BS60" s="51"/>
      <c r="BT60" s="51"/>
      <c r="BU60" s="51"/>
      <c r="BV60" s="51"/>
      <c r="BW60" s="17"/>
      <c r="CI60" s="17"/>
    </row>
    <row r="61" ht="30.0" customHeight="1">
      <c r="A61" s="51"/>
      <c r="B61" s="51"/>
      <c r="C61" s="51"/>
      <c r="D61" s="51"/>
      <c r="E61" s="51"/>
      <c r="F61" s="51"/>
      <c r="G61" s="51"/>
      <c r="H61" s="51"/>
      <c r="I61" s="51"/>
      <c r="J61" s="51"/>
      <c r="K61" s="51"/>
      <c r="L61" s="51"/>
      <c r="M61" s="51"/>
      <c r="N61" s="51"/>
      <c r="O61" s="17"/>
      <c r="V61" s="18"/>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17"/>
      <c r="AZ61" s="73" t="s">
        <v>266</v>
      </c>
      <c r="BB61" s="74">
        <v>1.0</v>
      </c>
      <c r="BE61" s="73" t="s">
        <v>267</v>
      </c>
      <c r="BF61" s="75" t="s">
        <v>51</v>
      </c>
      <c r="BG61" s="67">
        <f>IF(BF61="نعم", 1, IF(BF61="لا", 0, ""))</f>
        <v>1</v>
      </c>
      <c r="BI61" s="38" t="s">
        <v>190</v>
      </c>
      <c r="BJ61" s="51"/>
      <c r="BK61" s="51"/>
      <c r="BL61" s="51"/>
      <c r="BM61" s="51"/>
      <c r="BN61" s="51"/>
      <c r="BO61" s="51"/>
      <c r="BP61" s="51"/>
      <c r="BQ61" s="51"/>
      <c r="BR61" s="51"/>
      <c r="BS61" s="51"/>
      <c r="BT61" s="51"/>
      <c r="BU61" s="51"/>
      <c r="BV61" s="51"/>
      <c r="BW61" s="17"/>
      <c r="BX61" s="73" t="s">
        <v>252</v>
      </c>
      <c r="BZ61" s="74">
        <v>0.5</v>
      </c>
      <c r="CC61" s="68" t="s">
        <v>253</v>
      </c>
      <c r="CD61" s="75" t="s">
        <v>51</v>
      </c>
      <c r="CE61" s="67">
        <f>IF(CD61="نعم", 0.5, IF(CD61="لا", 0, ""))</f>
        <v>0.5</v>
      </c>
      <c r="CG61" s="38" t="s">
        <v>268</v>
      </c>
      <c r="CI61" s="17"/>
      <c r="CJ61" s="73" t="s">
        <v>269</v>
      </c>
      <c r="CL61" s="74">
        <v>0.5</v>
      </c>
      <c r="CO61" s="68" t="s">
        <v>253</v>
      </c>
      <c r="CP61" s="75" t="s">
        <v>51</v>
      </c>
      <c r="CQ61" s="67">
        <f>IF(CP61="نعم", 0.5, IF(CP61="لا", 0, ""))</f>
        <v>0.5</v>
      </c>
      <c r="CS61" s="38" t="s">
        <v>270</v>
      </c>
    </row>
    <row r="62" ht="30.0" customHeight="1">
      <c r="A62" s="51"/>
      <c r="B62" s="51"/>
      <c r="C62" s="51"/>
      <c r="D62" s="51"/>
      <c r="E62" s="51"/>
      <c r="F62" s="51"/>
      <c r="G62" s="51"/>
      <c r="H62" s="51"/>
      <c r="I62" s="51"/>
      <c r="J62" s="51"/>
      <c r="K62" s="51"/>
      <c r="L62" s="51"/>
      <c r="M62" s="51"/>
      <c r="N62" s="51"/>
      <c r="O62" s="17"/>
      <c r="P62" s="73" t="s">
        <v>271</v>
      </c>
      <c r="R62" s="74">
        <v>0.2</v>
      </c>
      <c r="U62" s="68" t="s">
        <v>272</v>
      </c>
      <c r="V62" s="79" t="s">
        <v>51</v>
      </c>
      <c r="W62" s="74">
        <f>IF(V62="نعم", 0.2, IF(V62="لا", 0, ""))</f>
        <v>0.2</v>
      </c>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17"/>
      <c r="BJ62" s="51"/>
      <c r="BK62" s="51"/>
      <c r="BL62" s="51"/>
      <c r="BM62" s="51"/>
      <c r="BN62" s="51"/>
      <c r="BO62" s="51"/>
      <c r="BP62" s="51"/>
      <c r="BQ62" s="51"/>
      <c r="BR62" s="51"/>
      <c r="BS62" s="51"/>
      <c r="BT62" s="51"/>
      <c r="BU62" s="51"/>
      <c r="BV62" s="51"/>
      <c r="BW62" s="17"/>
      <c r="CI62" s="17"/>
    </row>
    <row r="63" ht="30.0" customHeight="1">
      <c r="A63" s="51"/>
      <c r="B63" s="51"/>
      <c r="C63" s="51"/>
      <c r="D63" s="51"/>
      <c r="E63" s="51"/>
      <c r="F63" s="51"/>
      <c r="G63" s="51"/>
      <c r="H63" s="51"/>
      <c r="I63" s="51"/>
      <c r="J63" s="51"/>
      <c r="K63" s="51"/>
      <c r="L63" s="51"/>
      <c r="M63" s="51"/>
      <c r="N63" s="51"/>
      <c r="O63" s="17"/>
      <c r="V63" s="17"/>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17"/>
      <c r="BJ63" s="51"/>
      <c r="BK63" s="51"/>
      <c r="BL63" s="51"/>
      <c r="BM63" s="51"/>
      <c r="BN63" s="51"/>
      <c r="BO63" s="51"/>
      <c r="BP63" s="51"/>
      <c r="BQ63" s="51"/>
      <c r="BR63" s="51"/>
      <c r="BS63" s="51"/>
      <c r="BT63" s="51"/>
      <c r="BU63" s="51"/>
      <c r="BV63" s="51"/>
      <c r="BW63" s="17"/>
      <c r="CI63" s="17"/>
    </row>
    <row r="64" ht="30.0" customHeight="1">
      <c r="A64" s="51"/>
      <c r="B64" s="51"/>
      <c r="C64" s="51"/>
      <c r="D64" s="51"/>
      <c r="E64" s="51"/>
      <c r="F64" s="51"/>
      <c r="G64" s="51"/>
      <c r="H64" s="51"/>
      <c r="I64" s="51"/>
      <c r="J64" s="51"/>
      <c r="K64" s="51"/>
      <c r="L64" s="51"/>
      <c r="M64" s="51"/>
      <c r="N64" s="51"/>
      <c r="O64" s="17"/>
      <c r="V64" s="17"/>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17"/>
      <c r="BJ64" s="51"/>
      <c r="BK64" s="51"/>
      <c r="BL64" s="51"/>
      <c r="BM64" s="51"/>
      <c r="BN64" s="51"/>
      <c r="BO64" s="51"/>
      <c r="BP64" s="51"/>
      <c r="BQ64" s="51"/>
      <c r="BR64" s="51"/>
      <c r="BS64" s="51"/>
      <c r="BT64" s="51"/>
      <c r="BU64" s="51"/>
      <c r="BV64" s="51"/>
      <c r="BW64" s="17"/>
      <c r="CI64" s="17"/>
    </row>
    <row r="65" ht="30.0" customHeight="1">
      <c r="A65" s="51"/>
      <c r="B65" s="51"/>
      <c r="C65" s="51"/>
      <c r="D65" s="51"/>
      <c r="E65" s="51"/>
      <c r="F65" s="51"/>
      <c r="G65" s="51"/>
      <c r="H65" s="51"/>
      <c r="I65" s="51"/>
      <c r="J65" s="51"/>
      <c r="K65" s="51"/>
      <c r="L65" s="51"/>
      <c r="M65" s="51"/>
      <c r="N65" s="51"/>
      <c r="O65" s="17"/>
      <c r="V65" s="18"/>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18"/>
      <c r="BJ65" s="51"/>
      <c r="BK65" s="51"/>
      <c r="BL65" s="51"/>
      <c r="BM65" s="51"/>
      <c r="BN65" s="51"/>
      <c r="BO65" s="51"/>
      <c r="BP65" s="51"/>
      <c r="BQ65" s="51"/>
      <c r="BR65" s="51"/>
      <c r="BS65" s="51"/>
      <c r="BT65" s="51"/>
      <c r="BU65" s="51"/>
      <c r="BV65" s="51"/>
      <c r="BW65" s="18"/>
      <c r="CI65" s="18"/>
    </row>
    <row r="66" ht="30.0" customHeight="1">
      <c r="A66" s="51"/>
      <c r="B66" s="51"/>
      <c r="C66" s="51"/>
      <c r="D66" s="51"/>
      <c r="E66" s="51"/>
      <c r="F66" s="51"/>
      <c r="G66" s="51"/>
      <c r="H66" s="51"/>
      <c r="I66" s="51"/>
      <c r="J66" s="51"/>
      <c r="K66" s="51"/>
      <c r="L66" s="51"/>
      <c r="M66" s="51"/>
      <c r="N66" s="51"/>
      <c r="O66" s="17"/>
      <c r="P66" s="73" t="s">
        <v>273</v>
      </c>
      <c r="R66" s="74">
        <v>0.2</v>
      </c>
      <c r="U66" s="73" t="s">
        <v>274</v>
      </c>
      <c r="V66" s="79" t="s">
        <v>51</v>
      </c>
      <c r="W66" s="74">
        <f>IF(V86="نعم", 0.2, IF(V86="لا", 0, ""))</f>
        <v>0.2</v>
      </c>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c r="BR66" s="51"/>
      <c r="BS66" s="51"/>
      <c r="BT66" s="51"/>
      <c r="BU66" s="51"/>
      <c r="BV66" s="51"/>
      <c r="BW66" s="51"/>
      <c r="BX66" s="51"/>
      <c r="BY66" s="51"/>
      <c r="BZ66" s="51"/>
      <c r="CA66" s="51"/>
      <c r="CB66" s="51"/>
      <c r="CC66" s="51"/>
      <c r="CD66" s="51"/>
      <c r="CE66" s="51"/>
      <c r="CF66" s="51"/>
      <c r="CG66" s="51"/>
    </row>
    <row r="67" ht="30.0" customHeight="1">
      <c r="A67" s="51"/>
      <c r="B67" s="51"/>
      <c r="C67" s="51"/>
      <c r="D67" s="51"/>
      <c r="E67" s="51"/>
      <c r="F67" s="51"/>
      <c r="G67" s="51"/>
      <c r="H67" s="51"/>
      <c r="I67" s="51"/>
      <c r="J67" s="51"/>
      <c r="K67" s="51"/>
      <c r="L67" s="51"/>
      <c r="M67" s="51"/>
      <c r="N67" s="51"/>
      <c r="O67" s="17"/>
      <c r="V67" s="17"/>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row>
    <row r="68" ht="30.0" customHeight="1">
      <c r="A68" s="51"/>
      <c r="B68" s="51"/>
      <c r="C68" s="51"/>
      <c r="D68" s="51"/>
      <c r="E68" s="51"/>
      <c r="F68" s="51"/>
      <c r="G68" s="51"/>
      <c r="H68" s="51"/>
      <c r="I68" s="51"/>
      <c r="J68" s="51"/>
      <c r="K68" s="51"/>
      <c r="L68" s="51"/>
      <c r="M68" s="51"/>
      <c r="N68" s="51"/>
      <c r="O68" s="17"/>
      <c r="V68" s="17"/>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c r="BR68" s="51"/>
      <c r="BS68" s="51"/>
      <c r="BT68" s="51"/>
      <c r="BU68" s="51"/>
      <c r="BV68" s="51"/>
      <c r="BW68" s="51"/>
      <c r="BX68" s="51"/>
      <c r="BY68" s="51"/>
      <c r="BZ68" s="51"/>
      <c r="CA68" s="51"/>
      <c r="CB68" s="51"/>
      <c r="CC68" s="51"/>
      <c r="CD68" s="51"/>
      <c r="CE68" s="51"/>
      <c r="CF68" s="51"/>
      <c r="CG68" s="51"/>
    </row>
    <row r="69" ht="30.0" customHeight="1">
      <c r="A69" s="51"/>
      <c r="B69" s="51"/>
      <c r="C69" s="51"/>
      <c r="D69" s="51"/>
      <c r="E69" s="51"/>
      <c r="F69" s="51"/>
      <c r="G69" s="51"/>
      <c r="H69" s="51"/>
      <c r="I69" s="51"/>
      <c r="J69" s="51"/>
      <c r="K69" s="51"/>
      <c r="L69" s="51"/>
      <c r="M69" s="51"/>
      <c r="N69" s="51"/>
      <c r="O69" s="17"/>
      <c r="V69" s="17"/>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row>
    <row r="70" ht="30.0" customHeight="1">
      <c r="A70" s="51"/>
      <c r="B70" s="51"/>
      <c r="C70" s="51"/>
      <c r="D70" s="51"/>
      <c r="E70" s="51"/>
      <c r="F70" s="51"/>
      <c r="G70" s="51"/>
      <c r="H70" s="51"/>
      <c r="I70" s="51"/>
      <c r="J70" s="51"/>
      <c r="K70" s="51"/>
      <c r="L70" s="51"/>
      <c r="M70" s="51"/>
      <c r="N70" s="51"/>
      <c r="O70" s="17"/>
      <c r="V70" s="18"/>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row>
    <row r="71" ht="30.0" customHeight="1">
      <c r="A71" s="51"/>
      <c r="B71" s="51"/>
      <c r="C71" s="51"/>
      <c r="D71" s="51"/>
      <c r="E71" s="51"/>
      <c r="F71" s="51"/>
      <c r="G71" s="51"/>
      <c r="H71" s="51"/>
      <c r="I71" s="51"/>
      <c r="J71" s="51"/>
      <c r="K71" s="51"/>
      <c r="L71" s="51"/>
      <c r="M71" s="51"/>
      <c r="N71" s="51"/>
      <c r="O71" s="17"/>
      <c r="P71" s="73" t="s">
        <v>275</v>
      </c>
      <c r="R71" s="74">
        <v>3.0</v>
      </c>
      <c r="U71" s="73" t="s">
        <v>276</v>
      </c>
      <c r="V71" s="75" t="s">
        <v>51</v>
      </c>
      <c r="W71" s="67">
        <f>IF(V71="نعم", 1, IF(V71="لا", 0, ""))</f>
        <v>1</v>
      </c>
      <c r="Y71" s="38" t="s">
        <v>277</v>
      </c>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row>
    <row r="72" ht="30.0" customHeight="1">
      <c r="A72" s="51"/>
      <c r="B72" s="51"/>
      <c r="C72" s="51"/>
      <c r="D72" s="51"/>
      <c r="E72" s="51"/>
      <c r="F72" s="51"/>
      <c r="G72" s="51"/>
      <c r="H72" s="51"/>
      <c r="I72" s="51"/>
      <c r="J72" s="51"/>
      <c r="K72" s="51"/>
      <c r="L72" s="51"/>
      <c r="M72" s="51"/>
      <c r="N72" s="51"/>
      <c r="O72" s="17"/>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row>
    <row r="73" ht="30.0" customHeight="1">
      <c r="A73" s="51"/>
      <c r="B73" s="51"/>
      <c r="C73" s="51"/>
      <c r="D73" s="51"/>
      <c r="E73" s="51"/>
      <c r="F73" s="51"/>
      <c r="G73" s="51"/>
      <c r="H73" s="51"/>
      <c r="I73" s="51"/>
      <c r="J73" s="51"/>
      <c r="K73" s="51"/>
      <c r="L73" s="51"/>
      <c r="M73" s="51"/>
      <c r="N73" s="51"/>
      <c r="O73" s="17"/>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row>
    <row r="74" ht="30.0" customHeight="1">
      <c r="A74" s="51"/>
      <c r="B74" s="51"/>
      <c r="C74" s="51"/>
      <c r="D74" s="51"/>
      <c r="E74" s="51"/>
      <c r="F74" s="51"/>
      <c r="G74" s="51"/>
      <c r="H74" s="51"/>
      <c r="I74" s="51"/>
      <c r="J74" s="51"/>
      <c r="K74" s="51"/>
      <c r="L74" s="51"/>
      <c r="M74" s="51"/>
      <c r="N74" s="51"/>
      <c r="O74" s="17"/>
      <c r="P74" s="73" t="s">
        <v>278</v>
      </c>
      <c r="U74" s="73" t="s">
        <v>279</v>
      </c>
      <c r="V74" s="75" t="s">
        <v>51</v>
      </c>
      <c r="W74" s="67">
        <f>IF(V74="نعم", 1, IF(V74="لا", 0, ""))</f>
        <v>1</v>
      </c>
      <c r="Y74" s="38" t="s">
        <v>280</v>
      </c>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c r="BR74" s="51"/>
      <c r="BS74" s="51"/>
      <c r="BT74" s="51"/>
      <c r="BU74" s="51"/>
      <c r="BV74" s="51"/>
      <c r="BW74" s="51"/>
      <c r="BX74" s="51"/>
      <c r="BY74" s="51"/>
      <c r="BZ74" s="51"/>
      <c r="CA74" s="51"/>
      <c r="CB74" s="51"/>
      <c r="CC74" s="51"/>
      <c r="CD74" s="51"/>
      <c r="CE74" s="51"/>
      <c r="CF74" s="51"/>
      <c r="CG74" s="51"/>
    </row>
    <row r="75" ht="30.0" customHeight="1">
      <c r="A75" s="51"/>
      <c r="B75" s="51"/>
      <c r="C75" s="51"/>
      <c r="D75" s="51"/>
      <c r="E75" s="51"/>
      <c r="F75" s="51"/>
      <c r="G75" s="51"/>
      <c r="H75" s="51"/>
      <c r="I75" s="51"/>
      <c r="J75" s="51"/>
      <c r="K75" s="51"/>
      <c r="L75" s="51"/>
      <c r="M75" s="51"/>
      <c r="N75" s="51"/>
      <c r="O75" s="17"/>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c r="BR75" s="51"/>
      <c r="BS75" s="51"/>
      <c r="BT75" s="51"/>
      <c r="BU75" s="51"/>
      <c r="BV75" s="51"/>
      <c r="BW75" s="51"/>
      <c r="BX75" s="51"/>
      <c r="BY75" s="51"/>
      <c r="BZ75" s="51"/>
      <c r="CA75" s="51"/>
      <c r="CB75" s="51"/>
      <c r="CC75" s="51"/>
      <c r="CD75" s="51"/>
      <c r="CE75" s="51"/>
      <c r="CF75" s="51"/>
      <c r="CG75" s="51"/>
    </row>
    <row r="76" ht="30.0" customHeight="1">
      <c r="A76" s="51"/>
      <c r="B76" s="51"/>
      <c r="C76" s="51"/>
      <c r="D76" s="51"/>
      <c r="E76" s="51"/>
      <c r="F76" s="51"/>
      <c r="G76" s="51"/>
      <c r="H76" s="51"/>
      <c r="I76" s="51"/>
      <c r="J76" s="51"/>
      <c r="K76" s="51"/>
      <c r="L76" s="51"/>
      <c r="M76" s="51"/>
      <c r="N76" s="51"/>
      <c r="O76" s="17"/>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row>
    <row r="77" ht="30.0" customHeight="1">
      <c r="A77" s="51"/>
      <c r="B77" s="51"/>
      <c r="C77" s="51"/>
      <c r="D77" s="51"/>
      <c r="E77" s="51"/>
      <c r="F77" s="51"/>
      <c r="G77" s="51"/>
      <c r="H77" s="51"/>
      <c r="I77" s="51"/>
      <c r="J77" s="51"/>
      <c r="K77" s="51"/>
      <c r="L77" s="51"/>
      <c r="M77" s="51"/>
      <c r="N77" s="51"/>
      <c r="O77" s="17"/>
      <c r="P77" s="73" t="s">
        <v>281</v>
      </c>
      <c r="S77" s="75" t="s">
        <v>43</v>
      </c>
      <c r="T77" s="73" t="s">
        <v>170</v>
      </c>
      <c r="U77" s="68" t="s">
        <v>276</v>
      </c>
      <c r="V77" s="77" t="s">
        <v>51</v>
      </c>
      <c r="W77" s="67">
        <f>IF(V77="نعم", 1, IF(V77="لا", 0, ""))</f>
        <v>1</v>
      </c>
      <c r="Y77" s="38" t="s">
        <v>277</v>
      </c>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row>
    <row r="78" ht="30.0" customHeight="1">
      <c r="A78" s="51"/>
      <c r="B78" s="51"/>
      <c r="C78" s="51"/>
      <c r="D78" s="51"/>
      <c r="E78" s="51"/>
      <c r="F78" s="51"/>
      <c r="G78" s="51"/>
      <c r="H78" s="51"/>
      <c r="I78" s="51"/>
      <c r="J78" s="51"/>
      <c r="K78" s="51"/>
      <c r="L78" s="51"/>
      <c r="M78" s="51"/>
      <c r="N78" s="51"/>
      <c r="O78" s="17"/>
      <c r="V78" s="17"/>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c r="BR78" s="51"/>
      <c r="BS78" s="51"/>
      <c r="BT78" s="51"/>
      <c r="BU78" s="51"/>
      <c r="BV78" s="51"/>
      <c r="BW78" s="51"/>
      <c r="BX78" s="51"/>
      <c r="BY78" s="51"/>
      <c r="BZ78" s="51"/>
      <c r="CA78" s="51"/>
      <c r="CB78" s="51"/>
      <c r="CC78" s="51"/>
      <c r="CD78" s="51"/>
      <c r="CE78" s="51"/>
      <c r="CF78" s="51"/>
      <c r="CG78" s="51"/>
    </row>
    <row r="79" ht="30.0" customHeight="1">
      <c r="A79" s="51"/>
      <c r="B79" s="51"/>
      <c r="C79" s="51"/>
      <c r="D79" s="51"/>
      <c r="E79" s="51"/>
      <c r="F79" s="51"/>
      <c r="G79" s="51"/>
      <c r="H79" s="51"/>
      <c r="I79" s="51"/>
      <c r="J79" s="51"/>
      <c r="K79" s="51"/>
      <c r="L79" s="51"/>
      <c r="M79" s="51"/>
      <c r="N79" s="51"/>
      <c r="O79" s="17"/>
      <c r="V79" s="17"/>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row>
    <row r="80" ht="30.0" customHeight="1">
      <c r="A80" s="51"/>
      <c r="B80" s="51"/>
      <c r="C80" s="51"/>
      <c r="D80" s="51"/>
      <c r="E80" s="51"/>
      <c r="F80" s="51"/>
      <c r="G80" s="51"/>
      <c r="H80" s="51"/>
      <c r="I80" s="51"/>
      <c r="J80" s="51"/>
      <c r="K80" s="51"/>
      <c r="L80" s="51"/>
      <c r="M80" s="51"/>
      <c r="N80" s="51"/>
      <c r="O80" s="17"/>
      <c r="V80" s="18"/>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c r="BR80" s="51"/>
      <c r="BS80" s="51"/>
      <c r="BT80" s="51"/>
      <c r="BU80" s="51"/>
      <c r="BV80" s="51"/>
      <c r="BW80" s="51"/>
      <c r="BX80" s="51"/>
      <c r="BY80" s="51"/>
      <c r="BZ80" s="51"/>
      <c r="CA80" s="51"/>
      <c r="CB80" s="51"/>
      <c r="CC80" s="51"/>
      <c r="CD80" s="51"/>
      <c r="CE80" s="51"/>
      <c r="CF80" s="51"/>
      <c r="CG80" s="51"/>
    </row>
    <row r="81" ht="30.0" customHeight="1">
      <c r="A81" s="51"/>
      <c r="B81" s="51"/>
      <c r="C81" s="51"/>
      <c r="D81" s="51"/>
      <c r="E81" s="51"/>
      <c r="F81" s="51"/>
      <c r="G81" s="51"/>
      <c r="H81" s="51"/>
      <c r="I81" s="51"/>
      <c r="J81" s="51"/>
      <c r="K81" s="51"/>
      <c r="L81" s="51"/>
      <c r="M81" s="51"/>
      <c r="N81" s="51"/>
      <c r="O81" s="17"/>
      <c r="P81" s="73" t="s">
        <v>282</v>
      </c>
      <c r="U81" s="68" t="s">
        <v>283</v>
      </c>
      <c r="V81" s="79" t="s">
        <v>51</v>
      </c>
      <c r="W81" s="67">
        <f>IF(V81="نعم", 1, IF(V81="لا", 0, ""))</f>
        <v>1</v>
      </c>
      <c r="Y81" s="38" t="s">
        <v>280</v>
      </c>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row>
    <row r="82" ht="30.0" customHeight="1">
      <c r="A82" s="51"/>
      <c r="B82" s="51"/>
      <c r="C82" s="51"/>
      <c r="D82" s="51"/>
      <c r="E82" s="51"/>
      <c r="F82" s="51"/>
      <c r="G82" s="51"/>
      <c r="H82" s="51"/>
      <c r="I82" s="51"/>
      <c r="J82" s="51"/>
      <c r="K82" s="51"/>
      <c r="L82" s="51"/>
      <c r="M82" s="51"/>
      <c r="N82" s="51"/>
      <c r="O82" s="17"/>
      <c r="V82" s="17"/>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row>
    <row r="83" ht="30.0" customHeight="1">
      <c r="A83" s="51"/>
      <c r="B83" s="51"/>
      <c r="C83" s="51"/>
      <c r="D83" s="51"/>
      <c r="E83" s="51"/>
      <c r="F83" s="51"/>
      <c r="G83" s="51"/>
      <c r="H83" s="51"/>
      <c r="I83" s="51"/>
      <c r="J83" s="51"/>
      <c r="K83" s="51"/>
      <c r="L83" s="51"/>
      <c r="M83" s="51"/>
      <c r="N83" s="51"/>
      <c r="O83" s="17"/>
      <c r="V83" s="17"/>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row>
    <row r="84" ht="30.0" customHeight="1">
      <c r="A84" s="51"/>
      <c r="B84" s="51"/>
      <c r="C84" s="51"/>
      <c r="D84" s="51"/>
      <c r="E84" s="51"/>
      <c r="F84" s="51"/>
      <c r="G84" s="51"/>
      <c r="H84" s="51"/>
      <c r="I84" s="51"/>
      <c r="J84" s="51"/>
      <c r="K84" s="51"/>
      <c r="L84" s="51"/>
      <c r="M84" s="51"/>
      <c r="N84" s="51"/>
      <c r="O84" s="17"/>
      <c r="V84" s="17"/>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c r="BR84" s="51"/>
      <c r="BS84" s="51"/>
      <c r="BT84" s="51"/>
      <c r="BU84" s="51"/>
      <c r="BV84" s="51"/>
      <c r="BW84" s="51"/>
      <c r="BX84" s="51"/>
      <c r="BY84" s="51"/>
      <c r="BZ84" s="51"/>
      <c r="CA84" s="51"/>
      <c r="CB84" s="51"/>
      <c r="CC84" s="51"/>
      <c r="CD84" s="51"/>
      <c r="CE84" s="51"/>
      <c r="CF84" s="51"/>
      <c r="CG84" s="51"/>
    </row>
    <row r="85" ht="30.0" customHeight="1">
      <c r="A85" s="51"/>
      <c r="B85" s="51"/>
      <c r="C85" s="51"/>
      <c r="D85" s="51"/>
      <c r="E85" s="51"/>
      <c r="F85" s="51"/>
      <c r="G85" s="51"/>
      <c r="H85" s="51"/>
      <c r="I85" s="51"/>
      <c r="J85" s="51"/>
      <c r="K85" s="51"/>
      <c r="L85" s="51"/>
      <c r="M85" s="51"/>
      <c r="N85" s="51"/>
      <c r="O85" s="17"/>
      <c r="V85" s="18"/>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c r="BR85" s="51"/>
      <c r="BS85" s="51"/>
      <c r="BT85" s="51"/>
      <c r="BU85" s="51"/>
      <c r="BV85" s="51"/>
      <c r="BW85" s="51"/>
      <c r="BX85" s="51"/>
      <c r="BY85" s="51"/>
      <c r="BZ85" s="51"/>
      <c r="CA85" s="51"/>
      <c r="CB85" s="51"/>
      <c r="CC85" s="51"/>
      <c r="CD85" s="51"/>
      <c r="CE85" s="51"/>
      <c r="CF85" s="51"/>
      <c r="CG85" s="51"/>
    </row>
    <row r="86" ht="30.0" customHeight="1">
      <c r="A86" s="51"/>
      <c r="B86" s="51"/>
      <c r="C86" s="51"/>
      <c r="D86" s="51"/>
      <c r="E86" s="51"/>
      <c r="F86" s="51"/>
      <c r="G86" s="51"/>
      <c r="H86" s="51"/>
      <c r="I86" s="51"/>
      <c r="J86" s="51"/>
      <c r="K86" s="51"/>
      <c r="L86" s="51"/>
      <c r="M86" s="51"/>
      <c r="N86" s="51"/>
      <c r="O86" s="17"/>
      <c r="P86" s="73" t="s">
        <v>284</v>
      </c>
      <c r="U86" s="68" t="s">
        <v>283</v>
      </c>
      <c r="V86" s="75" t="s">
        <v>51</v>
      </c>
      <c r="W86" s="67">
        <f>IF(V86="نعم", 1, IF(V86="لا", 0, ""))</f>
        <v>1</v>
      </c>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row>
    <row r="87" ht="30.0" customHeight="1">
      <c r="A87" s="51"/>
      <c r="B87" s="51"/>
      <c r="C87" s="51"/>
      <c r="D87" s="51"/>
      <c r="E87" s="51"/>
      <c r="F87" s="51"/>
      <c r="G87" s="51"/>
      <c r="H87" s="51"/>
      <c r="I87" s="51"/>
      <c r="J87" s="51"/>
      <c r="K87" s="51"/>
      <c r="L87" s="51"/>
      <c r="M87" s="51"/>
      <c r="N87" s="51"/>
      <c r="O87" s="17"/>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c r="BR87" s="51"/>
      <c r="BS87" s="51"/>
      <c r="BT87" s="51"/>
      <c r="BU87" s="51"/>
      <c r="BV87" s="51"/>
      <c r="BW87" s="51"/>
      <c r="BX87" s="51"/>
      <c r="BY87" s="51"/>
      <c r="BZ87" s="51"/>
      <c r="CA87" s="51"/>
      <c r="CB87" s="51"/>
      <c r="CC87" s="51"/>
      <c r="CD87" s="51"/>
      <c r="CE87" s="51"/>
      <c r="CF87" s="51"/>
      <c r="CG87" s="51"/>
    </row>
    <row r="88" ht="30.0" customHeight="1">
      <c r="A88" s="51"/>
      <c r="B88" s="51"/>
      <c r="C88" s="51"/>
      <c r="D88" s="51"/>
      <c r="E88" s="51"/>
      <c r="F88" s="51"/>
      <c r="G88" s="51"/>
      <c r="H88" s="51"/>
      <c r="I88" s="51"/>
      <c r="J88" s="51"/>
      <c r="K88" s="51"/>
      <c r="L88" s="51"/>
      <c r="M88" s="51"/>
      <c r="N88" s="51"/>
      <c r="O88" s="17"/>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row>
    <row r="89" ht="30.0" customHeight="1">
      <c r="A89" s="51"/>
      <c r="B89" s="51"/>
      <c r="C89" s="51"/>
      <c r="D89" s="51"/>
      <c r="E89" s="51"/>
      <c r="F89" s="51"/>
      <c r="G89" s="51"/>
      <c r="H89" s="51"/>
      <c r="I89" s="51"/>
      <c r="J89" s="51"/>
      <c r="K89" s="51"/>
      <c r="L89" s="51"/>
      <c r="M89" s="51"/>
      <c r="N89" s="51"/>
      <c r="O89" s="17"/>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c r="BR89" s="51"/>
      <c r="BS89" s="51"/>
      <c r="BT89" s="51"/>
      <c r="BU89" s="51"/>
      <c r="BV89" s="51"/>
      <c r="BW89" s="51"/>
      <c r="BX89" s="51"/>
      <c r="BY89" s="51"/>
      <c r="BZ89" s="51"/>
      <c r="CA89" s="51"/>
      <c r="CB89" s="51"/>
      <c r="CC89" s="51"/>
      <c r="CD89" s="51"/>
      <c r="CE89" s="51"/>
      <c r="CF89" s="51"/>
      <c r="CG89" s="51"/>
    </row>
    <row r="90" ht="30.0" customHeight="1">
      <c r="A90" s="51"/>
      <c r="B90" s="51"/>
      <c r="C90" s="51"/>
      <c r="D90" s="51"/>
      <c r="E90" s="51"/>
      <c r="F90" s="51"/>
      <c r="G90" s="51"/>
      <c r="H90" s="51"/>
      <c r="I90" s="51"/>
      <c r="J90" s="51"/>
      <c r="K90" s="51"/>
      <c r="L90" s="51"/>
      <c r="M90" s="51"/>
      <c r="N90" s="51"/>
      <c r="O90" s="17"/>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c r="BR90" s="51"/>
      <c r="BS90" s="51"/>
      <c r="BT90" s="51"/>
      <c r="BU90" s="51"/>
      <c r="BV90" s="51"/>
      <c r="BW90" s="51"/>
      <c r="BX90" s="51"/>
      <c r="BY90" s="51"/>
      <c r="BZ90" s="51"/>
      <c r="CA90" s="51"/>
      <c r="CB90" s="51"/>
      <c r="CC90" s="51"/>
      <c r="CD90" s="51"/>
      <c r="CE90" s="51"/>
      <c r="CF90" s="51"/>
      <c r="CG90" s="51"/>
    </row>
    <row r="91" ht="30.0" customHeight="1">
      <c r="A91" s="51"/>
      <c r="B91" s="51"/>
      <c r="C91" s="51"/>
      <c r="D91" s="51"/>
      <c r="E91" s="51"/>
      <c r="F91" s="51"/>
      <c r="G91" s="51"/>
      <c r="H91" s="51"/>
      <c r="I91" s="51"/>
      <c r="J91" s="51"/>
      <c r="K91" s="51"/>
      <c r="L91" s="51"/>
      <c r="M91" s="51"/>
      <c r="N91" s="51"/>
      <c r="O91" s="17"/>
      <c r="P91" s="73" t="s">
        <v>285</v>
      </c>
      <c r="R91" s="74">
        <v>1.0</v>
      </c>
      <c r="U91" s="73" t="s">
        <v>286</v>
      </c>
      <c r="V91" s="75" t="s">
        <v>51</v>
      </c>
      <c r="W91" s="67">
        <f>IF(V91="نعم", 1, IF(V91="لا", 0, ""))</f>
        <v>1</v>
      </c>
      <c r="Y91" s="38" t="s">
        <v>287</v>
      </c>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c r="BR91" s="51"/>
      <c r="BS91" s="51"/>
      <c r="BT91" s="51"/>
      <c r="BU91" s="51"/>
      <c r="BV91" s="51"/>
      <c r="BW91" s="51"/>
      <c r="BX91" s="51"/>
      <c r="BY91" s="51"/>
      <c r="BZ91" s="51"/>
      <c r="CA91" s="51"/>
      <c r="CB91" s="51"/>
      <c r="CC91" s="51"/>
      <c r="CD91" s="51"/>
      <c r="CE91" s="51"/>
      <c r="CF91" s="51"/>
      <c r="CG91" s="51"/>
    </row>
    <row r="92" ht="30.0" customHeight="1">
      <c r="A92" s="51"/>
      <c r="B92" s="51"/>
      <c r="C92" s="51"/>
      <c r="D92" s="51"/>
      <c r="E92" s="51"/>
      <c r="F92" s="51"/>
      <c r="G92" s="51"/>
      <c r="H92" s="51"/>
      <c r="I92" s="51"/>
      <c r="J92" s="51"/>
      <c r="K92" s="51"/>
      <c r="L92" s="51"/>
      <c r="M92" s="51"/>
      <c r="N92" s="51"/>
      <c r="O92" s="17"/>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row>
    <row r="93" ht="30.0" customHeight="1">
      <c r="A93" s="51"/>
      <c r="B93" s="51"/>
      <c r="C93" s="51"/>
      <c r="D93" s="51"/>
      <c r="E93" s="51"/>
      <c r="F93" s="51"/>
      <c r="G93" s="51"/>
      <c r="H93" s="51"/>
      <c r="I93" s="51"/>
      <c r="J93" s="51"/>
      <c r="K93" s="51"/>
      <c r="L93" s="51"/>
      <c r="M93" s="51"/>
      <c r="N93" s="51"/>
      <c r="O93" s="17"/>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c r="BR93" s="51"/>
      <c r="BS93" s="51"/>
      <c r="BT93" s="51"/>
      <c r="BU93" s="51"/>
      <c r="BV93" s="51"/>
      <c r="BW93" s="51"/>
      <c r="BX93" s="51"/>
      <c r="BY93" s="51"/>
      <c r="BZ93" s="51"/>
      <c r="CA93" s="51"/>
      <c r="CB93" s="51"/>
      <c r="CC93" s="51"/>
      <c r="CD93" s="51"/>
      <c r="CE93" s="51"/>
      <c r="CF93" s="51"/>
      <c r="CG93" s="51"/>
    </row>
    <row r="94" ht="30.0" customHeight="1">
      <c r="A94" s="51"/>
      <c r="B94" s="51"/>
      <c r="C94" s="51"/>
      <c r="D94" s="51"/>
      <c r="E94" s="51"/>
      <c r="F94" s="51"/>
      <c r="G94" s="51"/>
      <c r="H94" s="51"/>
      <c r="I94" s="51"/>
      <c r="J94" s="51"/>
      <c r="K94" s="51"/>
      <c r="L94" s="51"/>
      <c r="M94" s="51"/>
      <c r="N94" s="51"/>
      <c r="O94" s="17"/>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row>
    <row r="95" ht="30.0" customHeight="1">
      <c r="A95" s="51"/>
      <c r="B95" s="51"/>
      <c r="C95" s="51"/>
      <c r="D95" s="51"/>
      <c r="E95" s="51"/>
      <c r="F95" s="51"/>
      <c r="G95" s="51"/>
      <c r="H95" s="51"/>
      <c r="I95" s="51"/>
      <c r="J95" s="51"/>
      <c r="K95" s="51"/>
      <c r="L95" s="51"/>
      <c r="M95" s="51"/>
      <c r="N95" s="51"/>
      <c r="O95" s="17"/>
      <c r="P95" s="73" t="s">
        <v>288</v>
      </c>
      <c r="R95" s="74">
        <v>1.0</v>
      </c>
      <c r="U95" s="73" t="s">
        <v>289</v>
      </c>
      <c r="V95" s="75" t="s">
        <v>51</v>
      </c>
      <c r="W95" s="67">
        <f>IF(V95="نعم", 1, IF(V95="لا", 0, ""))</f>
        <v>1</v>
      </c>
      <c r="Y95" s="38" t="s">
        <v>290</v>
      </c>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c r="BR95" s="51"/>
      <c r="BS95" s="51"/>
      <c r="BT95" s="51"/>
      <c r="BU95" s="51"/>
      <c r="BV95" s="51"/>
      <c r="BW95" s="51"/>
      <c r="BX95" s="51"/>
      <c r="BY95" s="51"/>
      <c r="BZ95" s="51"/>
      <c r="CA95" s="51"/>
      <c r="CB95" s="51"/>
      <c r="CC95" s="51"/>
      <c r="CD95" s="51"/>
      <c r="CE95" s="51"/>
      <c r="CF95" s="51"/>
      <c r="CG95" s="51"/>
    </row>
    <row r="96" ht="30.0" customHeight="1">
      <c r="A96" s="51"/>
      <c r="B96" s="51"/>
      <c r="C96" s="51"/>
      <c r="D96" s="51"/>
      <c r="E96" s="51"/>
      <c r="F96" s="51"/>
      <c r="G96" s="51"/>
      <c r="H96" s="51"/>
      <c r="I96" s="51"/>
      <c r="J96" s="51"/>
      <c r="K96" s="51"/>
      <c r="L96" s="51"/>
      <c r="M96" s="51"/>
      <c r="N96" s="51"/>
      <c r="O96" s="17"/>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c r="BR96" s="51"/>
      <c r="BS96" s="51"/>
      <c r="BT96" s="51"/>
      <c r="BU96" s="51"/>
      <c r="BV96" s="51"/>
      <c r="BW96" s="51"/>
      <c r="BX96" s="51"/>
      <c r="BY96" s="51"/>
      <c r="BZ96" s="51"/>
      <c r="CA96" s="51"/>
      <c r="CB96" s="51"/>
      <c r="CC96" s="51"/>
      <c r="CD96" s="51"/>
      <c r="CE96" s="51"/>
      <c r="CF96" s="51"/>
      <c r="CG96" s="51"/>
    </row>
    <row r="97" ht="30.0" customHeight="1">
      <c r="A97" s="51"/>
      <c r="B97" s="51"/>
      <c r="C97" s="51"/>
      <c r="D97" s="51"/>
      <c r="E97" s="51"/>
      <c r="F97" s="51"/>
      <c r="G97" s="51"/>
      <c r="H97" s="51"/>
      <c r="I97" s="51"/>
      <c r="J97" s="51"/>
      <c r="K97" s="51"/>
      <c r="L97" s="51"/>
      <c r="M97" s="51"/>
      <c r="N97" s="51"/>
      <c r="O97" s="17"/>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c r="BR97" s="51"/>
      <c r="BS97" s="51"/>
      <c r="BT97" s="51"/>
      <c r="BU97" s="51"/>
      <c r="BV97" s="51"/>
      <c r="BW97" s="51"/>
      <c r="BX97" s="51"/>
      <c r="BY97" s="51"/>
      <c r="BZ97" s="51"/>
      <c r="CA97" s="51"/>
      <c r="CB97" s="51"/>
      <c r="CC97" s="51"/>
      <c r="CD97" s="51"/>
      <c r="CE97" s="51"/>
      <c r="CF97" s="51"/>
      <c r="CG97" s="51"/>
    </row>
    <row r="98" ht="30.0" customHeight="1">
      <c r="A98" s="51"/>
      <c r="B98" s="51"/>
      <c r="C98" s="51"/>
      <c r="D98" s="51"/>
      <c r="E98" s="51"/>
      <c r="F98" s="51"/>
      <c r="G98" s="51"/>
      <c r="H98" s="51"/>
      <c r="I98" s="51"/>
      <c r="J98" s="51"/>
      <c r="K98" s="51"/>
      <c r="L98" s="51"/>
      <c r="M98" s="51"/>
      <c r="N98" s="51"/>
      <c r="O98" s="18"/>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row>
    <row r="99" ht="30.0"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c r="BR99" s="51"/>
      <c r="BS99" s="51"/>
      <c r="BT99" s="51"/>
      <c r="BU99" s="51"/>
      <c r="BV99" s="51"/>
      <c r="BW99" s="51"/>
      <c r="BX99" s="51"/>
      <c r="BY99" s="51"/>
      <c r="BZ99" s="51"/>
      <c r="CA99" s="51"/>
      <c r="CB99" s="51"/>
      <c r="CC99" s="51"/>
      <c r="CD99" s="51"/>
      <c r="CE99" s="51"/>
      <c r="CF99" s="51"/>
      <c r="CG99" s="51"/>
    </row>
    <row r="100" ht="30.0"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51"/>
      <c r="BJ100" s="51"/>
      <c r="BK100" s="51"/>
      <c r="BL100" s="51"/>
      <c r="BM100" s="51"/>
      <c r="BN100" s="51"/>
      <c r="BO100" s="51"/>
      <c r="BP100" s="51"/>
      <c r="BQ100" s="51"/>
      <c r="BR100" s="51"/>
      <c r="BS100" s="51"/>
      <c r="BT100" s="51"/>
      <c r="BU100" s="51"/>
      <c r="BV100" s="51"/>
      <c r="BW100" s="51"/>
      <c r="BX100" s="51"/>
      <c r="BY100" s="51"/>
      <c r="BZ100" s="51"/>
      <c r="CA100" s="51"/>
      <c r="CB100" s="51"/>
      <c r="CC100" s="51"/>
      <c r="CD100" s="51"/>
      <c r="CE100" s="51"/>
      <c r="CF100" s="51"/>
      <c r="CG100" s="51"/>
    </row>
    <row r="101" ht="30.0"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c r="BA101" s="51"/>
      <c r="BB101" s="51"/>
      <c r="BC101" s="51"/>
      <c r="BD101" s="51"/>
      <c r="BE101" s="51"/>
      <c r="BF101" s="51"/>
      <c r="BG101" s="51"/>
      <c r="BH101" s="51"/>
      <c r="BI101" s="51"/>
      <c r="BJ101" s="51"/>
      <c r="BK101" s="51"/>
      <c r="BL101" s="51"/>
      <c r="BM101" s="51"/>
      <c r="BN101" s="51"/>
      <c r="BO101" s="51"/>
      <c r="BP101" s="51"/>
      <c r="BQ101" s="51"/>
      <c r="BR101" s="51"/>
      <c r="BS101" s="51"/>
      <c r="BT101" s="51"/>
      <c r="BU101" s="51"/>
      <c r="BV101" s="51"/>
      <c r="BW101" s="51"/>
      <c r="BX101" s="51"/>
      <c r="BY101" s="51"/>
      <c r="BZ101" s="51"/>
      <c r="CA101" s="51"/>
      <c r="CB101" s="51"/>
      <c r="CC101" s="51"/>
      <c r="CD101" s="51"/>
      <c r="CE101" s="51"/>
      <c r="CF101" s="51"/>
      <c r="CG101" s="51"/>
    </row>
    <row r="102" ht="30.0"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c r="BA102" s="51"/>
      <c r="BB102" s="51"/>
      <c r="BC102" s="51"/>
      <c r="BD102" s="51"/>
      <c r="BE102" s="51"/>
      <c r="BF102" s="51"/>
      <c r="BG102" s="51"/>
      <c r="BH102" s="51"/>
      <c r="BI102" s="51"/>
      <c r="BJ102" s="51"/>
      <c r="BK102" s="51"/>
      <c r="BL102" s="51"/>
      <c r="BM102" s="51"/>
      <c r="BN102" s="51"/>
      <c r="BO102" s="51"/>
      <c r="BP102" s="51"/>
      <c r="BQ102" s="51"/>
      <c r="BR102" s="51"/>
      <c r="BS102" s="51"/>
      <c r="BT102" s="51"/>
      <c r="BU102" s="51"/>
      <c r="BV102" s="51"/>
      <c r="BW102" s="51"/>
      <c r="BX102" s="51"/>
      <c r="BY102" s="51"/>
      <c r="BZ102" s="51"/>
      <c r="CA102" s="51"/>
      <c r="CB102" s="51"/>
      <c r="CC102" s="51"/>
      <c r="CD102" s="51"/>
      <c r="CE102" s="51"/>
      <c r="CF102" s="51"/>
      <c r="CG102" s="51"/>
    </row>
    <row r="103" ht="30.0"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51"/>
      <c r="BJ103" s="51"/>
      <c r="BK103" s="51"/>
      <c r="BL103" s="51"/>
      <c r="BM103" s="51"/>
      <c r="BN103" s="51"/>
      <c r="BO103" s="51"/>
      <c r="BP103" s="51"/>
      <c r="BQ103" s="51"/>
      <c r="BR103" s="51"/>
      <c r="BS103" s="51"/>
      <c r="BT103" s="51"/>
      <c r="BU103" s="51"/>
      <c r="BV103" s="51"/>
      <c r="BW103" s="51"/>
      <c r="BX103" s="51"/>
      <c r="BY103" s="51"/>
      <c r="BZ103" s="51"/>
      <c r="CA103" s="51"/>
      <c r="CB103" s="51"/>
      <c r="CC103" s="51"/>
      <c r="CD103" s="51"/>
      <c r="CE103" s="51"/>
      <c r="CF103" s="51"/>
      <c r="CG103" s="51"/>
    </row>
    <row r="104" ht="30.0"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row>
    <row r="105" ht="30.0"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51"/>
      <c r="BJ105" s="51"/>
      <c r="BK105" s="51"/>
      <c r="BL105" s="51"/>
      <c r="BM105" s="51"/>
      <c r="BN105" s="51"/>
      <c r="BO105" s="51"/>
      <c r="BP105" s="51"/>
      <c r="BQ105" s="51"/>
      <c r="BR105" s="51"/>
      <c r="BS105" s="51"/>
      <c r="BT105" s="51"/>
      <c r="BU105" s="51"/>
      <c r="BV105" s="51"/>
      <c r="BW105" s="51"/>
      <c r="BX105" s="51"/>
      <c r="BY105" s="51"/>
      <c r="BZ105" s="51"/>
      <c r="CA105" s="51"/>
      <c r="CB105" s="51"/>
      <c r="CC105" s="51"/>
      <c r="CD105" s="51"/>
      <c r="CE105" s="51"/>
      <c r="CF105" s="51"/>
      <c r="CG105" s="51"/>
    </row>
    <row r="106" ht="30.0"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row>
    <row r="107" ht="30.0"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row>
    <row r="108" ht="30.0"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51"/>
      <c r="BJ108" s="51"/>
      <c r="BK108" s="51"/>
      <c r="BL108" s="51"/>
      <c r="BM108" s="51"/>
      <c r="BN108" s="51"/>
      <c r="BO108" s="51"/>
      <c r="BP108" s="51"/>
      <c r="BQ108" s="51"/>
      <c r="BR108" s="51"/>
      <c r="BS108" s="51"/>
      <c r="BT108" s="51"/>
      <c r="BU108" s="51"/>
      <c r="BV108" s="51"/>
      <c r="BW108" s="51"/>
      <c r="BX108" s="51"/>
      <c r="BY108" s="51"/>
      <c r="BZ108" s="51"/>
      <c r="CA108" s="51"/>
      <c r="CB108" s="51"/>
      <c r="CC108" s="51"/>
      <c r="CD108" s="51"/>
      <c r="CE108" s="51"/>
      <c r="CF108" s="51"/>
      <c r="CG108" s="51"/>
    </row>
    <row r="109" ht="30.0"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row>
    <row r="110" ht="30.0"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row>
    <row r="111" ht="30.0"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51"/>
      <c r="BJ111" s="51"/>
      <c r="BK111" s="51"/>
      <c r="BL111" s="51"/>
      <c r="BM111" s="51"/>
      <c r="BN111" s="51"/>
      <c r="BO111" s="51"/>
      <c r="BP111" s="51"/>
      <c r="BQ111" s="51"/>
      <c r="BR111" s="51"/>
      <c r="BS111" s="51"/>
      <c r="BT111" s="51"/>
      <c r="BU111" s="51"/>
      <c r="BV111" s="51"/>
      <c r="BW111" s="51"/>
      <c r="BX111" s="51"/>
      <c r="BY111" s="51"/>
      <c r="BZ111" s="51"/>
      <c r="CA111" s="51"/>
      <c r="CB111" s="51"/>
      <c r="CC111" s="51"/>
      <c r="CD111" s="51"/>
      <c r="CE111" s="51"/>
      <c r="CF111" s="51"/>
      <c r="CG111" s="51"/>
    </row>
    <row r="112" ht="30.0"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row>
    <row r="113" ht="30.0"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51"/>
      <c r="BJ113" s="51"/>
      <c r="BK113" s="51"/>
      <c r="BL113" s="51"/>
      <c r="BM113" s="51"/>
      <c r="BN113" s="51"/>
      <c r="BO113" s="51"/>
      <c r="BP113" s="51"/>
      <c r="BQ113" s="51"/>
      <c r="BR113" s="51"/>
      <c r="BS113" s="51"/>
      <c r="BT113" s="51"/>
      <c r="BU113" s="51"/>
      <c r="BV113" s="51"/>
      <c r="BW113" s="51"/>
      <c r="BX113" s="51"/>
      <c r="BY113" s="51"/>
      <c r="BZ113" s="51"/>
      <c r="CA113" s="51"/>
      <c r="CB113" s="51"/>
      <c r="CC113" s="51"/>
      <c r="CD113" s="51"/>
      <c r="CE113" s="51"/>
      <c r="CF113" s="51"/>
      <c r="CG113" s="51"/>
    </row>
    <row r="114" ht="30.0"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row>
    <row r="115" ht="30.0"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51"/>
      <c r="BJ115" s="51"/>
      <c r="BK115" s="51"/>
      <c r="BL115" s="51"/>
      <c r="BM115" s="51"/>
      <c r="BN115" s="51"/>
      <c r="BO115" s="51"/>
      <c r="BP115" s="51"/>
      <c r="BQ115" s="51"/>
      <c r="BR115" s="51"/>
      <c r="BS115" s="51"/>
      <c r="BT115" s="51"/>
      <c r="BU115" s="51"/>
      <c r="BV115" s="51"/>
      <c r="BW115" s="51"/>
      <c r="BX115" s="51"/>
      <c r="BY115" s="51"/>
      <c r="BZ115" s="51"/>
      <c r="CA115" s="51"/>
      <c r="CB115" s="51"/>
      <c r="CC115" s="51"/>
      <c r="CD115" s="51"/>
      <c r="CE115" s="51"/>
      <c r="CF115" s="51"/>
      <c r="CG115" s="51"/>
    </row>
    <row r="116" ht="30.0"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row>
    <row r="117" ht="30.0"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row>
    <row r="118" ht="30.0"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51"/>
      <c r="BJ118" s="51"/>
      <c r="BK118" s="51"/>
      <c r="BL118" s="51"/>
      <c r="BM118" s="51"/>
      <c r="BN118" s="51"/>
      <c r="BO118" s="51"/>
      <c r="BP118" s="51"/>
      <c r="BQ118" s="51"/>
      <c r="BR118" s="51"/>
      <c r="BS118" s="51"/>
      <c r="BT118" s="51"/>
      <c r="BU118" s="51"/>
      <c r="BV118" s="51"/>
      <c r="BW118" s="51"/>
      <c r="BX118" s="51"/>
      <c r="BY118" s="51"/>
      <c r="BZ118" s="51"/>
      <c r="CA118" s="51"/>
      <c r="CB118" s="51"/>
      <c r="CC118" s="51"/>
      <c r="CD118" s="51"/>
      <c r="CE118" s="51"/>
      <c r="CF118" s="51"/>
      <c r="CG118" s="51"/>
    </row>
    <row r="119" ht="30.0"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row>
    <row r="120" ht="30.0"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51"/>
      <c r="BJ120" s="51"/>
      <c r="BK120" s="51"/>
      <c r="BL120" s="51"/>
      <c r="BM120" s="51"/>
      <c r="BN120" s="51"/>
      <c r="BO120" s="51"/>
      <c r="BP120" s="51"/>
      <c r="BQ120" s="51"/>
      <c r="BR120" s="51"/>
      <c r="BS120" s="51"/>
      <c r="BT120" s="51"/>
      <c r="BU120" s="51"/>
      <c r="BV120" s="51"/>
      <c r="BW120" s="51"/>
      <c r="BX120" s="51"/>
      <c r="BY120" s="51"/>
      <c r="BZ120" s="51"/>
      <c r="CA120" s="51"/>
      <c r="CB120" s="51"/>
      <c r="CC120" s="51"/>
      <c r="CD120" s="51"/>
      <c r="CE120" s="51"/>
      <c r="CF120" s="51"/>
      <c r="CG120" s="51"/>
    </row>
    <row r="121" ht="30.0"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51"/>
      <c r="BJ121" s="51"/>
      <c r="BK121" s="51"/>
      <c r="BL121" s="51"/>
      <c r="BM121" s="51"/>
      <c r="BN121" s="51"/>
      <c r="BO121" s="51"/>
      <c r="BP121" s="51"/>
      <c r="BQ121" s="51"/>
      <c r="BR121" s="51"/>
      <c r="BS121" s="51"/>
      <c r="BT121" s="51"/>
      <c r="BU121" s="51"/>
      <c r="BV121" s="51"/>
      <c r="BW121" s="51"/>
      <c r="BX121" s="51"/>
      <c r="BY121" s="51"/>
      <c r="BZ121" s="51"/>
      <c r="CA121" s="51"/>
      <c r="CB121" s="51"/>
      <c r="CC121" s="51"/>
      <c r="CD121" s="51"/>
      <c r="CE121" s="51"/>
      <c r="CF121" s="51"/>
      <c r="CG121" s="51"/>
    </row>
    <row r="122" ht="30.0"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51"/>
      <c r="BJ122" s="51"/>
      <c r="BK122" s="51"/>
      <c r="BL122" s="51"/>
      <c r="BM122" s="51"/>
      <c r="BN122" s="51"/>
      <c r="BO122" s="51"/>
      <c r="BP122" s="51"/>
      <c r="BQ122" s="51"/>
      <c r="BR122" s="51"/>
      <c r="BS122" s="51"/>
      <c r="BT122" s="51"/>
      <c r="BU122" s="51"/>
      <c r="BV122" s="51"/>
      <c r="BW122" s="51"/>
      <c r="BX122" s="51"/>
      <c r="BY122" s="51"/>
      <c r="BZ122" s="51"/>
      <c r="CA122" s="51"/>
      <c r="CB122" s="51"/>
      <c r="CC122" s="51"/>
      <c r="CD122" s="51"/>
      <c r="CE122" s="51"/>
      <c r="CF122" s="51"/>
      <c r="CG122" s="51"/>
    </row>
    <row r="123" ht="30.0"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C123" s="51"/>
      <c r="CD123" s="51"/>
      <c r="CE123" s="51"/>
      <c r="CF123" s="51"/>
      <c r="CG123" s="51"/>
    </row>
    <row r="124" ht="30.0"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row>
    <row r="125" ht="30.0"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C125" s="51"/>
      <c r="CD125" s="51"/>
      <c r="CE125" s="51"/>
      <c r="CF125" s="51"/>
      <c r="CG125" s="51"/>
    </row>
    <row r="126" ht="30.0"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row>
    <row r="127" ht="30.0"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C127" s="51"/>
      <c r="CD127" s="51"/>
      <c r="CE127" s="51"/>
      <c r="CF127" s="51"/>
      <c r="CG127" s="51"/>
    </row>
    <row r="128" ht="30.0"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row>
    <row r="129" ht="30.0"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row>
    <row r="130" ht="30.0"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51"/>
      <c r="BJ130" s="51"/>
      <c r="BK130" s="51"/>
      <c r="BL130" s="51"/>
      <c r="BM130" s="51"/>
      <c r="BN130" s="51"/>
      <c r="BO130" s="51"/>
      <c r="BP130" s="51"/>
      <c r="BQ130" s="51"/>
      <c r="BR130" s="51"/>
      <c r="BS130" s="51"/>
      <c r="BT130" s="51"/>
      <c r="BU130" s="51"/>
      <c r="BV130" s="51"/>
      <c r="BW130" s="51"/>
      <c r="BX130" s="51"/>
      <c r="BY130" s="51"/>
      <c r="BZ130" s="51"/>
      <c r="CA130" s="51"/>
      <c r="CB130" s="51"/>
      <c r="CC130" s="51"/>
      <c r="CD130" s="51"/>
      <c r="CE130" s="51"/>
      <c r="CF130" s="51"/>
      <c r="CG130" s="51"/>
    </row>
    <row r="131" ht="30.0"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c r="BZ131" s="51"/>
      <c r="CA131" s="51"/>
      <c r="CB131" s="51"/>
      <c r="CC131" s="51"/>
      <c r="CD131" s="51"/>
      <c r="CE131" s="51"/>
      <c r="CF131" s="51"/>
      <c r="CG131" s="51"/>
    </row>
    <row r="132" ht="30.0"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row>
    <row r="133" ht="30.0"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51"/>
      <c r="BJ133" s="51"/>
      <c r="BK133" s="51"/>
      <c r="BL133" s="51"/>
      <c r="BM133" s="51"/>
      <c r="BN133" s="51"/>
      <c r="BO133" s="51"/>
      <c r="BP133" s="51"/>
      <c r="BQ133" s="51"/>
      <c r="BR133" s="51"/>
      <c r="BS133" s="51"/>
      <c r="BT133" s="51"/>
      <c r="BU133" s="51"/>
      <c r="BV133" s="51"/>
      <c r="BW133" s="51"/>
      <c r="BX133" s="51"/>
      <c r="BY133" s="51"/>
      <c r="BZ133" s="51"/>
      <c r="CA133" s="51"/>
      <c r="CB133" s="51"/>
      <c r="CC133" s="51"/>
      <c r="CD133" s="51"/>
      <c r="CE133" s="51"/>
      <c r="CF133" s="51"/>
      <c r="CG133" s="51"/>
    </row>
    <row r="134" ht="30.0"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51"/>
      <c r="BJ134" s="51"/>
      <c r="BK134" s="51"/>
      <c r="BL134" s="51"/>
      <c r="BM134" s="51"/>
      <c r="BN134" s="51"/>
      <c r="BO134" s="51"/>
      <c r="BP134" s="51"/>
      <c r="BQ134" s="51"/>
      <c r="BR134" s="51"/>
      <c r="BS134" s="51"/>
      <c r="BT134" s="51"/>
      <c r="BU134" s="51"/>
      <c r="BV134" s="51"/>
      <c r="BW134" s="51"/>
      <c r="BX134" s="51"/>
      <c r="BY134" s="51"/>
      <c r="BZ134" s="51"/>
      <c r="CA134" s="51"/>
      <c r="CB134" s="51"/>
      <c r="CC134" s="51"/>
      <c r="CD134" s="51"/>
      <c r="CE134" s="51"/>
      <c r="CF134" s="51"/>
      <c r="CG134" s="51"/>
    </row>
    <row r="135" ht="30.0"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51"/>
      <c r="BJ135" s="51"/>
      <c r="BK135" s="51"/>
      <c r="BL135" s="51"/>
      <c r="BM135" s="51"/>
      <c r="BN135" s="51"/>
      <c r="BO135" s="51"/>
      <c r="BP135" s="51"/>
      <c r="BQ135" s="51"/>
      <c r="BR135" s="51"/>
      <c r="BS135" s="51"/>
      <c r="BT135" s="51"/>
      <c r="BU135" s="51"/>
      <c r="BV135" s="51"/>
      <c r="BW135" s="51"/>
      <c r="BX135" s="51"/>
      <c r="BY135" s="51"/>
      <c r="BZ135" s="51"/>
      <c r="CA135" s="51"/>
      <c r="CB135" s="51"/>
      <c r="CC135" s="51"/>
      <c r="CD135" s="51"/>
      <c r="CE135" s="51"/>
      <c r="CF135" s="51"/>
      <c r="CG135" s="51"/>
    </row>
    <row r="136" ht="30.0"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51"/>
      <c r="BJ136" s="51"/>
      <c r="BK136" s="51"/>
      <c r="BL136" s="51"/>
      <c r="BM136" s="51"/>
      <c r="BN136" s="51"/>
      <c r="BO136" s="51"/>
      <c r="BP136" s="51"/>
      <c r="BQ136" s="51"/>
      <c r="BR136" s="51"/>
      <c r="BS136" s="51"/>
      <c r="BT136" s="51"/>
      <c r="BU136" s="51"/>
      <c r="BV136" s="51"/>
      <c r="BW136" s="51"/>
      <c r="BX136" s="51"/>
      <c r="BY136" s="51"/>
      <c r="BZ136" s="51"/>
      <c r="CA136" s="51"/>
      <c r="CB136" s="51"/>
      <c r="CC136" s="51"/>
      <c r="CD136" s="51"/>
      <c r="CE136" s="51"/>
      <c r="CF136" s="51"/>
      <c r="CG136" s="51"/>
    </row>
    <row r="137" ht="30.0"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51"/>
      <c r="BJ137" s="51"/>
      <c r="BK137" s="51"/>
      <c r="BL137" s="51"/>
      <c r="BM137" s="51"/>
      <c r="BN137" s="51"/>
      <c r="BO137" s="51"/>
      <c r="BP137" s="51"/>
      <c r="BQ137" s="51"/>
      <c r="BR137" s="51"/>
      <c r="BS137" s="51"/>
      <c r="BT137" s="51"/>
      <c r="BU137" s="51"/>
      <c r="BV137" s="51"/>
      <c r="BW137" s="51"/>
      <c r="BX137" s="51"/>
      <c r="BY137" s="51"/>
      <c r="BZ137" s="51"/>
      <c r="CA137" s="51"/>
      <c r="CB137" s="51"/>
      <c r="CC137" s="51"/>
      <c r="CD137" s="51"/>
      <c r="CE137" s="51"/>
      <c r="CF137" s="51"/>
      <c r="CG137" s="51"/>
    </row>
    <row r="138" ht="30.0"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c r="BZ138" s="51"/>
      <c r="CA138" s="51"/>
      <c r="CB138" s="51"/>
      <c r="CC138" s="51"/>
      <c r="CD138" s="51"/>
      <c r="CE138" s="51"/>
      <c r="CF138" s="51"/>
      <c r="CG138" s="51"/>
    </row>
    <row r="139" ht="30.0"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row>
    <row r="140" ht="30.0"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c r="BZ140" s="51"/>
      <c r="CA140" s="51"/>
      <c r="CB140" s="51"/>
      <c r="CC140" s="51"/>
      <c r="CD140" s="51"/>
      <c r="CE140" s="51"/>
      <c r="CF140" s="51"/>
      <c r="CG140" s="51"/>
    </row>
    <row r="141" ht="30.0"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c r="BA141" s="51"/>
      <c r="BB141" s="51"/>
      <c r="BC141" s="51"/>
      <c r="BD141" s="51"/>
      <c r="BE141" s="51"/>
      <c r="BF141" s="51"/>
      <c r="BG141" s="51"/>
      <c r="BH141" s="51"/>
      <c r="BI141" s="51"/>
      <c r="BJ141" s="51"/>
      <c r="BK141" s="51"/>
      <c r="BL141" s="51"/>
      <c r="BM141" s="51"/>
      <c r="BN141" s="51"/>
      <c r="BO141" s="51"/>
      <c r="BP141" s="51"/>
      <c r="BQ141" s="51"/>
      <c r="BR141" s="51"/>
      <c r="BS141" s="51"/>
      <c r="BT141" s="51"/>
      <c r="BU141" s="51"/>
      <c r="BV141" s="51"/>
      <c r="BW141" s="51"/>
      <c r="BX141" s="51"/>
      <c r="BY141" s="51"/>
      <c r="BZ141" s="51"/>
      <c r="CA141" s="51"/>
      <c r="CB141" s="51"/>
      <c r="CC141" s="51"/>
      <c r="CD141" s="51"/>
      <c r="CE141" s="51"/>
      <c r="CF141" s="51"/>
      <c r="CG141" s="51"/>
    </row>
    <row r="142" ht="30.0"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c r="BA142" s="51"/>
      <c r="BB142" s="51"/>
      <c r="BC142" s="51"/>
      <c r="BD142" s="51"/>
      <c r="BE142" s="51"/>
      <c r="BF142" s="51"/>
      <c r="BG142" s="51"/>
      <c r="BH142" s="51"/>
      <c r="BI142" s="51"/>
      <c r="BJ142" s="51"/>
      <c r="BK142" s="51"/>
      <c r="BL142" s="51"/>
      <c r="BM142" s="51"/>
      <c r="BN142" s="51"/>
      <c r="BO142" s="51"/>
      <c r="BP142" s="51"/>
      <c r="BQ142" s="51"/>
      <c r="BR142" s="51"/>
      <c r="BS142" s="51"/>
      <c r="BT142" s="51"/>
      <c r="BU142" s="51"/>
      <c r="BV142" s="51"/>
      <c r="BW142" s="51"/>
      <c r="BX142" s="51"/>
      <c r="BY142" s="51"/>
      <c r="BZ142" s="51"/>
      <c r="CA142" s="51"/>
      <c r="CB142" s="51"/>
      <c r="CC142" s="51"/>
      <c r="CD142" s="51"/>
      <c r="CE142" s="51"/>
      <c r="CF142" s="51"/>
      <c r="CG142" s="51"/>
    </row>
    <row r="143" ht="30.0"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c r="BA143" s="51"/>
      <c r="BB143" s="51"/>
      <c r="BC143" s="51"/>
      <c r="BD143" s="51"/>
      <c r="BE143" s="51"/>
      <c r="BF143" s="51"/>
      <c r="BG143" s="51"/>
      <c r="BH143" s="51"/>
      <c r="BI143" s="51"/>
      <c r="BJ143" s="51"/>
      <c r="BK143" s="51"/>
      <c r="BL143" s="51"/>
      <c r="BM143" s="51"/>
      <c r="BN143" s="51"/>
      <c r="BO143" s="51"/>
      <c r="BP143" s="51"/>
      <c r="BQ143" s="51"/>
      <c r="BR143" s="51"/>
      <c r="BS143" s="51"/>
      <c r="BT143" s="51"/>
      <c r="BU143" s="51"/>
      <c r="BV143" s="51"/>
      <c r="BW143" s="51"/>
      <c r="BX143" s="51"/>
      <c r="BY143" s="51"/>
      <c r="BZ143" s="51"/>
      <c r="CA143" s="51"/>
      <c r="CB143" s="51"/>
      <c r="CC143" s="51"/>
      <c r="CD143" s="51"/>
      <c r="CE143" s="51"/>
      <c r="CF143" s="51"/>
      <c r="CG143" s="51"/>
    </row>
    <row r="144" ht="30.0"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c r="BA144" s="51"/>
      <c r="BB144" s="51"/>
      <c r="BC144" s="51"/>
      <c r="BD144" s="51"/>
      <c r="BE144" s="51"/>
      <c r="BF144" s="51"/>
      <c r="BG144" s="51"/>
      <c r="BH144" s="51"/>
      <c r="BI144" s="51"/>
      <c r="BJ144" s="51"/>
      <c r="BK144" s="51"/>
      <c r="BL144" s="51"/>
      <c r="BM144" s="51"/>
      <c r="BN144" s="51"/>
      <c r="BO144" s="51"/>
      <c r="BP144" s="51"/>
      <c r="BQ144" s="51"/>
      <c r="BR144" s="51"/>
      <c r="BS144" s="51"/>
      <c r="BT144" s="51"/>
      <c r="BU144" s="51"/>
      <c r="BV144" s="51"/>
      <c r="BW144" s="51"/>
      <c r="BX144" s="51"/>
      <c r="BY144" s="51"/>
      <c r="BZ144" s="51"/>
      <c r="CA144" s="51"/>
      <c r="CB144" s="51"/>
      <c r="CC144" s="51"/>
      <c r="CD144" s="51"/>
      <c r="CE144" s="51"/>
      <c r="CF144" s="51"/>
      <c r="CG144" s="51"/>
    </row>
    <row r="145" ht="30.0"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c r="BA145" s="51"/>
      <c r="BB145" s="51"/>
      <c r="BC145" s="51"/>
      <c r="BD145" s="51"/>
      <c r="BE145" s="51"/>
      <c r="BF145" s="51"/>
      <c r="BG145" s="51"/>
      <c r="BH145" s="51"/>
      <c r="BI145" s="51"/>
      <c r="BJ145" s="51"/>
      <c r="BK145" s="51"/>
      <c r="BL145" s="51"/>
      <c r="BM145" s="51"/>
      <c r="BN145" s="51"/>
      <c r="BO145" s="51"/>
      <c r="BP145" s="51"/>
      <c r="BQ145" s="51"/>
      <c r="BR145" s="51"/>
      <c r="BS145" s="51"/>
      <c r="BT145" s="51"/>
      <c r="BU145" s="51"/>
      <c r="BV145" s="51"/>
      <c r="BW145" s="51"/>
      <c r="BX145" s="51"/>
      <c r="BY145" s="51"/>
      <c r="BZ145" s="51"/>
      <c r="CA145" s="51"/>
      <c r="CB145" s="51"/>
      <c r="CC145" s="51"/>
      <c r="CD145" s="51"/>
      <c r="CE145" s="51"/>
      <c r="CF145" s="51"/>
      <c r="CG145" s="51"/>
    </row>
    <row r="146" ht="30.0"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c r="BA146" s="51"/>
      <c r="BB146" s="51"/>
      <c r="BC146" s="51"/>
      <c r="BD146" s="51"/>
      <c r="BE146" s="51"/>
      <c r="BF146" s="51"/>
      <c r="BG146" s="51"/>
      <c r="BH146" s="51"/>
      <c r="BI146" s="51"/>
      <c r="BJ146" s="51"/>
      <c r="BK146" s="51"/>
      <c r="BL146" s="51"/>
      <c r="BM146" s="51"/>
      <c r="BN146" s="51"/>
      <c r="BO146" s="51"/>
      <c r="BP146" s="51"/>
      <c r="BQ146" s="51"/>
      <c r="BR146" s="51"/>
      <c r="BS146" s="51"/>
      <c r="BT146" s="51"/>
      <c r="BU146" s="51"/>
      <c r="BV146" s="51"/>
      <c r="BW146" s="51"/>
      <c r="BX146" s="51"/>
      <c r="BY146" s="51"/>
      <c r="BZ146" s="51"/>
      <c r="CA146" s="51"/>
      <c r="CB146" s="51"/>
      <c r="CC146" s="51"/>
      <c r="CD146" s="51"/>
      <c r="CE146" s="51"/>
      <c r="CF146" s="51"/>
      <c r="CG146" s="51"/>
    </row>
    <row r="147" ht="30.0"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c r="BA147" s="51"/>
      <c r="BB147" s="51"/>
      <c r="BC147" s="51"/>
      <c r="BD147" s="51"/>
      <c r="BE147" s="51"/>
      <c r="BF147" s="51"/>
      <c r="BG147" s="51"/>
      <c r="BH147" s="51"/>
      <c r="BI147" s="51"/>
      <c r="BJ147" s="51"/>
      <c r="BK147" s="51"/>
      <c r="BL147" s="51"/>
      <c r="BM147" s="51"/>
      <c r="BN147" s="51"/>
      <c r="BO147" s="51"/>
      <c r="BP147" s="51"/>
      <c r="BQ147" s="51"/>
      <c r="BR147" s="51"/>
      <c r="BS147" s="51"/>
      <c r="BT147" s="51"/>
      <c r="BU147" s="51"/>
      <c r="BV147" s="51"/>
      <c r="BW147" s="51"/>
      <c r="BX147" s="51"/>
      <c r="BY147" s="51"/>
      <c r="BZ147" s="51"/>
      <c r="CA147" s="51"/>
      <c r="CB147" s="51"/>
      <c r="CC147" s="51"/>
      <c r="CD147" s="51"/>
      <c r="CE147" s="51"/>
      <c r="CF147" s="51"/>
      <c r="CG147" s="51"/>
    </row>
    <row r="148" ht="30.0"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N148" s="51"/>
      <c r="BO148" s="51"/>
      <c r="BP148" s="51"/>
      <c r="BQ148" s="51"/>
      <c r="BR148" s="51"/>
      <c r="BS148" s="51"/>
      <c r="BT148" s="51"/>
      <c r="BU148" s="51"/>
      <c r="BV148" s="51"/>
      <c r="BW148" s="51"/>
      <c r="BX148" s="51"/>
      <c r="BY148" s="51"/>
      <c r="BZ148" s="51"/>
      <c r="CA148" s="51"/>
      <c r="CB148" s="51"/>
      <c r="CC148" s="51"/>
      <c r="CD148" s="51"/>
      <c r="CE148" s="51"/>
      <c r="CF148" s="51"/>
      <c r="CG148" s="51"/>
    </row>
    <row r="149" ht="30.0"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c r="BA149" s="51"/>
      <c r="BB149" s="51"/>
      <c r="BC149" s="51"/>
      <c r="BD149" s="51"/>
      <c r="BE149" s="51"/>
      <c r="BF149" s="51"/>
      <c r="BG149" s="51"/>
      <c r="BH149" s="51"/>
      <c r="BI149" s="51"/>
      <c r="BJ149" s="51"/>
      <c r="BK149" s="51"/>
      <c r="BL149" s="51"/>
      <c r="BM149" s="51"/>
      <c r="BN149" s="51"/>
      <c r="BO149" s="51"/>
      <c r="BP149" s="51"/>
      <c r="BQ149" s="51"/>
      <c r="BR149" s="51"/>
      <c r="BS149" s="51"/>
      <c r="BT149" s="51"/>
      <c r="BU149" s="51"/>
      <c r="BV149" s="51"/>
      <c r="BW149" s="51"/>
      <c r="BX149" s="51"/>
      <c r="BY149" s="51"/>
      <c r="BZ149" s="51"/>
      <c r="CA149" s="51"/>
      <c r="CB149" s="51"/>
      <c r="CC149" s="51"/>
      <c r="CD149" s="51"/>
      <c r="CE149" s="51"/>
      <c r="CF149" s="51"/>
      <c r="CG149" s="51"/>
    </row>
    <row r="150" ht="30.0"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c r="BA150" s="51"/>
      <c r="BB150" s="51"/>
      <c r="BC150" s="51"/>
      <c r="BD150" s="51"/>
      <c r="BE150" s="51"/>
      <c r="BF150" s="51"/>
      <c r="BG150" s="51"/>
      <c r="BH150" s="51"/>
      <c r="BI150" s="51"/>
      <c r="BJ150" s="51"/>
      <c r="BK150" s="51"/>
      <c r="BL150" s="51"/>
      <c r="BM150" s="51"/>
      <c r="BN150" s="51"/>
      <c r="BO150" s="51"/>
      <c r="BP150" s="51"/>
      <c r="BQ150" s="51"/>
      <c r="BR150" s="51"/>
      <c r="BS150" s="51"/>
      <c r="BT150" s="51"/>
      <c r="BU150" s="51"/>
      <c r="BV150" s="51"/>
      <c r="BW150" s="51"/>
      <c r="BX150" s="51"/>
      <c r="BY150" s="51"/>
      <c r="BZ150" s="51"/>
      <c r="CA150" s="51"/>
      <c r="CB150" s="51"/>
      <c r="CC150" s="51"/>
      <c r="CD150" s="51"/>
      <c r="CE150" s="51"/>
      <c r="CF150" s="51"/>
      <c r="CG150" s="51"/>
    </row>
    <row r="151" ht="30.0"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c r="BA151" s="51"/>
      <c r="BB151" s="51"/>
      <c r="BC151" s="51"/>
      <c r="BD151" s="51"/>
      <c r="BE151" s="51"/>
      <c r="BF151" s="51"/>
      <c r="BG151" s="51"/>
      <c r="BH151" s="51"/>
      <c r="BI151" s="51"/>
      <c r="BJ151" s="51"/>
      <c r="BK151" s="51"/>
      <c r="BL151" s="51"/>
      <c r="BM151" s="51"/>
      <c r="BN151" s="51"/>
      <c r="BO151" s="51"/>
      <c r="BP151" s="51"/>
      <c r="BQ151" s="51"/>
      <c r="BR151" s="51"/>
      <c r="BS151" s="51"/>
      <c r="BT151" s="51"/>
      <c r="BU151" s="51"/>
      <c r="BV151" s="51"/>
      <c r="BW151" s="51"/>
      <c r="BX151" s="51"/>
      <c r="BY151" s="51"/>
      <c r="BZ151" s="51"/>
      <c r="CA151" s="51"/>
      <c r="CB151" s="51"/>
      <c r="CC151" s="51"/>
      <c r="CD151" s="51"/>
      <c r="CE151" s="51"/>
      <c r="CF151" s="51"/>
      <c r="CG151" s="51"/>
    </row>
    <row r="152" ht="30.0"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c r="BZ152" s="51"/>
      <c r="CA152" s="51"/>
      <c r="CB152" s="51"/>
      <c r="CC152" s="51"/>
      <c r="CD152" s="51"/>
      <c r="CE152" s="51"/>
      <c r="CF152" s="51"/>
      <c r="CG152" s="51"/>
    </row>
    <row r="153" ht="30.0"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c r="BA153" s="51"/>
      <c r="BB153" s="51"/>
      <c r="BC153" s="51"/>
      <c r="BD153" s="51"/>
      <c r="BE153" s="51"/>
      <c r="BF153" s="51"/>
      <c r="BG153" s="51"/>
      <c r="BH153" s="51"/>
      <c r="BI153" s="51"/>
      <c r="BJ153" s="51"/>
      <c r="BK153" s="51"/>
      <c r="BL153" s="51"/>
      <c r="BM153" s="51"/>
      <c r="BN153" s="51"/>
      <c r="BO153" s="51"/>
      <c r="BP153" s="51"/>
      <c r="BQ153" s="51"/>
      <c r="BR153" s="51"/>
      <c r="BS153" s="51"/>
      <c r="BT153" s="51"/>
      <c r="BU153" s="51"/>
      <c r="BV153" s="51"/>
      <c r="BW153" s="51"/>
      <c r="BX153" s="51"/>
      <c r="BY153" s="51"/>
      <c r="BZ153" s="51"/>
      <c r="CA153" s="51"/>
      <c r="CB153" s="51"/>
      <c r="CC153" s="51"/>
      <c r="CD153" s="51"/>
      <c r="CE153" s="51"/>
      <c r="CF153" s="51"/>
      <c r="CG153" s="51"/>
    </row>
    <row r="154" ht="30.0"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c r="BA154" s="51"/>
      <c r="BB154" s="51"/>
      <c r="BC154" s="51"/>
      <c r="BD154" s="51"/>
      <c r="BE154" s="51"/>
      <c r="BF154" s="51"/>
      <c r="BG154" s="51"/>
      <c r="BH154" s="51"/>
      <c r="BI154" s="51"/>
      <c r="BJ154" s="51"/>
      <c r="BK154" s="51"/>
      <c r="BL154" s="51"/>
      <c r="BM154" s="51"/>
      <c r="BN154" s="51"/>
      <c r="BO154" s="51"/>
      <c r="BP154" s="51"/>
      <c r="BQ154" s="51"/>
      <c r="BR154" s="51"/>
      <c r="BS154" s="51"/>
      <c r="BT154" s="51"/>
      <c r="BU154" s="51"/>
      <c r="BV154" s="51"/>
      <c r="BW154" s="51"/>
      <c r="BX154" s="51"/>
      <c r="BY154" s="51"/>
      <c r="BZ154" s="51"/>
      <c r="CA154" s="51"/>
      <c r="CB154" s="51"/>
      <c r="CC154" s="51"/>
      <c r="CD154" s="51"/>
      <c r="CE154" s="51"/>
      <c r="CF154" s="51"/>
      <c r="CG154" s="51"/>
    </row>
    <row r="155" ht="30.0"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c r="BA155" s="51"/>
      <c r="BB155" s="51"/>
      <c r="BC155" s="51"/>
      <c r="BD155" s="51"/>
      <c r="BE155" s="51"/>
      <c r="BF155" s="51"/>
      <c r="BG155" s="51"/>
      <c r="BH155" s="51"/>
      <c r="BI155" s="51"/>
      <c r="BJ155" s="51"/>
      <c r="BK155" s="51"/>
      <c r="BL155" s="51"/>
      <c r="BM155" s="51"/>
      <c r="BN155" s="51"/>
      <c r="BO155" s="51"/>
      <c r="BP155" s="51"/>
      <c r="BQ155" s="51"/>
      <c r="BR155" s="51"/>
      <c r="BS155" s="51"/>
      <c r="BT155" s="51"/>
      <c r="BU155" s="51"/>
      <c r="BV155" s="51"/>
      <c r="BW155" s="51"/>
      <c r="BX155" s="51"/>
      <c r="BY155" s="51"/>
      <c r="BZ155" s="51"/>
      <c r="CA155" s="51"/>
      <c r="CB155" s="51"/>
      <c r="CC155" s="51"/>
      <c r="CD155" s="51"/>
      <c r="CE155" s="51"/>
      <c r="CF155" s="51"/>
      <c r="CG155" s="51"/>
    </row>
    <row r="156" ht="30.0"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c r="BA156" s="51"/>
      <c r="BB156" s="51"/>
      <c r="BC156" s="51"/>
      <c r="BD156" s="51"/>
      <c r="BE156" s="51"/>
      <c r="BF156" s="51"/>
      <c r="BG156" s="51"/>
      <c r="BH156" s="51"/>
      <c r="BI156" s="51"/>
      <c r="BJ156" s="51"/>
      <c r="BK156" s="51"/>
      <c r="BL156" s="51"/>
      <c r="BM156" s="51"/>
      <c r="BN156" s="51"/>
      <c r="BO156" s="51"/>
      <c r="BP156" s="51"/>
      <c r="BQ156" s="51"/>
      <c r="BR156" s="51"/>
      <c r="BS156" s="51"/>
      <c r="BT156" s="51"/>
      <c r="BU156" s="51"/>
      <c r="BV156" s="51"/>
      <c r="BW156" s="51"/>
      <c r="BX156" s="51"/>
      <c r="BY156" s="51"/>
      <c r="BZ156" s="51"/>
      <c r="CA156" s="51"/>
      <c r="CB156" s="51"/>
      <c r="CC156" s="51"/>
      <c r="CD156" s="51"/>
      <c r="CE156" s="51"/>
      <c r="CF156" s="51"/>
      <c r="CG156" s="51"/>
    </row>
    <row r="157" ht="30.0"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c r="BA157" s="51"/>
      <c r="BB157" s="51"/>
      <c r="BC157" s="51"/>
      <c r="BD157" s="51"/>
      <c r="BE157" s="51"/>
      <c r="BF157" s="51"/>
      <c r="BG157" s="51"/>
      <c r="BH157" s="51"/>
      <c r="BI157" s="51"/>
      <c r="BJ157" s="51"/>
      <c r="BK157" s="51"/>
      <c r="BL157" s="51"/>
      <c r="BM157" s="51"/>
      <c r="BN157" s="51"/>
      <c r="BO157" s="51"/>
      <c r="BP157" s="51"/>
      <c r="BQ157" s="51"/>
      <c r="BR157" s="51"/>
      <c r="BS157" s="51"/>
      <c r="BT157" s="51"/>
      <c r="BU157" s="51"/>
      <c r="BV157" s="51"/>
      <c r="BW157" s="51"/>
      <c r="BX157" s="51"/>
      <c r="BY157" s="51"/>
      <c r="BZ157" s="51"/>
      <c r="CA157" s="51"/>
      <c r="CB157" s="51"/>
      <c r="CC157" s="51"/>
      <c r="CD157" s="51"/>
      <c r="CE157" s="51"/>
      <c r="CF157" s="51"/>
      <c r="CG157" s="51"/>
    </row>
    <row r="158" ht="30.0"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c r="BA158" s="51"/>
      <c r="BB158" s="51"/>
      <c r="BC158" s="51"/>
      <c r="BD158" s="51"/>
      <c r="BE158" s="51"/>
      <c r="BF158" s="51"/>
      <c r="BG158" s="51"/>
      <c r="BH158" s="51"/>
      <c r="BI158" s="51"/>
      <c r="BJ158" s="51"/>
      <c r="BK158" s="51"/>
      <c r="BL158" s="51"/>
      <c r="BM158" s="51"/>
      <c r="BN158" s="51"/>
      <c r="BO158" s="51"/>
      <c r="BP158" s="51"/>
      <c r="BQ158" s="51"/>
      <c r="BR158" s="51"/>
      <c r="BS158" s="51"/>
      <c r="BT158" s="51"/>
      <c r="BU158" s="51"/>
      <c r="BV158" s="51"/>
      <c r="BW158" s="51"/>
      <c r="BX158" s="51"/>
      <c r="BY158" s="51"/>
      <c r="BZ158" s="51"/>
      <c r="CA158" s="51"/>
      <c r="CB158" s="51"/>
      <c r="CC158" s="51"/>
      <c r="CD158" s="51"/>
      <c r="CE158" s="51"/>
      <c r="CF158" s="51"/>
      <c r="CG158" s="51"/>
    </row>
    <row r="159" ht="30.0"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c r="BA159" s="51"/>
      <c r="BB159" s="51"/>
      <c r="BC159" s="51"/>
      <c r="BD159" s="51"/>
      <c r="BE159" s="51"/>
      <c r="BF159" s="51"/>
      <c r="BG159" s="51"/>
      <c r="BH159" s="51"/>
      <c r="BI159" s="51"/>
      <c r="BJ159" s="51"/>
      <c r="BK159" s="51"/>
      <c r="BL159" s="51"/>
      <c r="BM159" s="51"/>
      <c r="BN159" s="51"/>
      <c r="BO159" s="51"/>
      <c r="BP159" s="51"/>
      <c r="BQ159" s="51"/>
      <c r="BR159" s="51"/>
      <c r="BS159" s="51"/>
      <c r="BT159" s="51"/>
      <c r="BU159" s="51"/>
      <c r="BV159" s="51"/>
      <c r="BW159" s="51"/>
      <c r="BX159" s="51"/>
      <c r="BY159" s="51"/>
      <c r="BZ159" s="51"/>
      <c r="CA159" s="51"/>
      <c r="CB159" s="51"/>
      <c r="CC159" s="51"/>
      <c r="CD159" s="51"/>
      <c r="CE159" s="51"/>
      <c r="CF159" s="51"/>
      <c r="CG159" s="51"/>
    </row>
    <row r="160" ht="30.0"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c r="BA160" s="51"/>
      <c r="BB160" s="51"/>
      <c r="BC160" s="51"/>
      <c r="BD160" s="51"/>
      <c r="BE160" s="51"/>
      <c r="BF160" s="51"/>
      <c r="BG160" s="51"/>
      <c r="BH160" s="51"/>
      <c r="BI160" s="51"/>
      <c r="BJ160" s="51"/>
      <c r="BK160" s="51"/>
      <c r="BL160" s="51"/>
      <c r="BM160" s="51"/>
      <c r="BN160" s="51"/>
      <c r="BO160" s="51"/>
      <c r="BP160" s="51"/>
      <c r="BQ160" s="51"/>
      <c r="BR160" s="51"/>
      <c r="BS160" s="51"/>
      <c r="BT160" s="51"/>
      <c r="BU160" s="51"/>
      <c r="BV160" s="51"/>
      <c r="BW160" s="51"/>
      <c r="BX160" s="51"/>
      <c r="BY160" s="51"/>
      <c r="BZ160" s="51"/>
      <c r="CA160" s="51"/>
      <c r="CB160" s="51"/>
      <c r="CC160" s="51"/>
      <c r="CD160" s="51"/>
      <c r="CE160" s="51"/>
      <c r="CF160" s="51"/>
      <c r="CG160" s="51"/>
    </row>
    <row r="161" ht="30.0"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c r="BA161" s="51"/>
      <c r="BB161" s="51"/>
      <c r="BC161" s="51"/>
      <c r="BD161" s="51"/>
      <c r="BE161" s="51"/>
      <c r="BF161" s="51"/>
      <c r="BG161" s="51"/>
      <c r="BH161" s="51"/>
      <c r="BI161" s="51"/>
      <c r="BJ161" s="51"/>
      <c r="BK161" s="51"/>
      <c r="BL161" s="51"/>
      <c r="BM161" s="51"/>
      <c r="BN161" s="51"/>
      <c r="BO161" s="51"/>
      <c r="BP161" s="51"/>
      <c r="BQ161" s="51"/>
      <c r="BR161" s="51"/>
      <c r="BS161" s="51"/>
      <c r="BT161" s="51"/>
      <c r="BU161" s="51"/>
      <c r="BV161" s="51"/>
      <c r="BW161" s="51"/>
      <c r="BX161" s="51"/>
      <c r="BY161" s="51"/>
      <c r="BZ161" s="51"/>
      <c r="CA161" s="51"/>
      <c r="CB161" s="51"/>
      <c r="CC161" s="51"/>
      <c r="CD161" s="51"/>
      <c r="CE161" s="51"/>
      <c r="CF161" s="51"/>
      <c r="CG161" s="51"/>
    </row>
    <row r="162" ht="30.0"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c r="BA162" s="51"/>
      <c r="BB162" s="51"/>
      <c r="BC162" s="51"/>
      <c r="BD162" s="51"/>
      <c r="BE162" s="51"/>
      <c r="BF162" s="51"/>
      <c r="BG162" s="51"/>
      <c r="BH162" s="51"/>
      <c r="BI162" s="51"/>
      <c r="BJ162" s="51"/>
      <c r="BK162" s="51"/>
      <c r="BL162" s="51"/>
      <c r="BM162" s="51"/>
      <c r="BN162" s="51"/>
      <c r="BO162" s="51"/>
      <c r="BP162" s="51"/>
      <c r="BQ162" s="51"/>
      <c r="BR162" s="51"/>
      <c r="BS162" s="51"/>
      <c r="BT162" s="51"/>
      <c r="BU162" s="51"/>
      <c r="BV162" s="51"/>
      <c r="BW162" s="51"/>
      <c r="BX162" s="51"/>
      <c r="BY162" s="51"/>
      <c r="BZ162" s="51"/>
      <c r="CA162" s="51"/>
      <c r="CB162" s="51"/>
      <c r="CC162" s="51"/>
      <c r="CD162" s="51"/>
      <c r="CE162" s="51"/>
      <c r="CF162" s="51"/>
      <c r="CG162" s="51"/>
    </row>
    <row r="163" ht="30.0"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c r="BA163" s="51"/>
      <c r="BB163" s="51"/>
      <c r="BC163" s="51"/>
      <c r="BD163" s="51"/>
      <c r="BE163" s="51"/>
      <c r="BF163" s="51"/>
      <c r="BG163" s="51"/>
      <c r="BH163" s="51"/>
      <c r="BI163" s="51"/>
      <c r="BJ163" s="51"/>
      <c r="BK163" s="51"/>
      <c r="BL163" s="51"/>
      <c r="BM163" s="51"/>
      <c r="BN163" s="51"/>
      <c r="BO163" s="51"/>
      <c r="BP163" s="51"/>
      <c r="BQ163" s="51"/>
      <c r="BR163" s="51"/>
      <c r="BS163" s="51"/>
      <c r="BT163" s="51"/>
      <c r="BU163" s="51"/>
      <c r="BV163" s="51"/>
      <c r="BW163" s="51"/>
      <c r="BX163" s="51"/>
      <c r="BY163" s="51"/>
      <c r="BZ163" s="51"/>
      <c r="CA163" s="51"/>
      <c r="CB163" s="51"/>
      <c r="CC163" s="51"/>
      <c r="CD163" s="51"/>
      <c r="CE163" s="51"/>
      <c r="CF163" s="51"/>
      <c r="CG163" s="51"/>
    </row>
    <row r="164" ht="30.0"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c r="BA164" s="51"/>
      <c r="BB164" s="51"/>
      <c r="BC164" s="51"/>
      <c r="BD164" s="51"/>
      <c r="BE164" s="51"/>
      <c r="BF164" s="51"/>
      <c r="BG164" s="51"/>
      <c r="BH164" s="51"/>
      <c r="BI164" s="51"/>
      <c r="BJ164" s="51"/>
      <c r="BK164" s="51"/>
      <c r="BL164" s="51"/>
      <c r="BM164" s="51"/>
      <c r="BN164" s="51"/>
      <c r="BO164" s="51"/>
      <c r="BP164" s="51"/>
      <c r="BQ164" s="51"/>
      <c r="BR164" s="51"/>
      <c r="BS164" s="51"/>
      <c r="BT164" s="51"/>
      <c r="BU164" s="51"/>
      <c r="BV164" s="51"/>
      <c r="BW164" s="51"/>
      <c r="BX164" s="51"/>
      <c r="BY164" s="51"/>
      <c r="BZ164" s="51"/>
      <c r="CA164" s="51"/>
      <c r="CB164" s="51"/>
      <c r="CC164" s="51"/>
      <c r="CD164" s="51"/>
      <c r="CE164" s="51"/>
      <c r="CF164" s="51"/>
      <c r="CG164" s="51"/>
    </row>
    <row r="165" ht="30.0"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c r="BA165" s="51"/>
      <c r="BB165" s="51"/>
      <c r="BC165" s="51"/>
      <c r="BD165" s="51"/>
      <c r="BE165" s="51"/>
      <c r="BF165" s="51"/>
      <c r="BG165" s="51"/>
      <c r="BH165" s="51"/>
      <c r="BI165" s="51"/>
      <c r="BJ165" s="51"/>
      <c r="BK165" s="51"/>
      <c r="BL165" s="51"/>
      <c r="BM165" s="51"/>
      <c r="BN165" s="51"/>
      <c r="BO165" s="51"/>
      <c r="BP165" s="51"/>
      <c r="BQ165" s="51"/>
      <c r="BR165" s="51"/>
      <c r="BS165" s="51"/>
      <c r="BT165" s="51"/>
      <c r="BU165" s="51"/>
      <c r="BV165" s="51"/>
      <c r="BW165" s="51"/>
      <c r="BX165" s="51"/>
      <c r="BY165" s="51"/>
      <c r="BZ165" s="51"/>
      <c r="CA165" s="51"/>
      <c r="CB165" s="51"/>
      <c r="CC165" s="51"/>
      <c r="CD165" s="51"/>
      <c r="CE165" s="51"/>
      <c r="CF165" s="51"/>
      <c r="CG165" s="51"/>
    </row>
    <row r="166" ht="30.0"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c r="BA166" s="51"/>
      <c r="BB166" s="51"/>
      <c r="BC166" s="51"/>
      <c r="BD166" s="51"/>
      <c r="BE166" s="51"/>
      <c r="BF166" s="51"/>
      <c r="BG166" s="51"/>
      <c r="BH166" s="51"/>
      <c r="BI166" s="51"/>
      <c r="BJ166" s="51"/>
      <c r="BK166" s="51"/>
      <c r="BL166" s="51"/>
      <c r="BM166" s="51"/>
      <c r="BN166" s="51"/>
      <c r="BO166" s="51"/>
      <c r="BP166" s="51"/>
      <c r="BQ166" s="51"/>
      <c r="BR166" s="51"/>
      <c r="BS166" s="51"/>
      <c r="BT166" s="51"/>
      <c r="BU166" s="51"/>
      <c r="BV166" s="51"/>
      <c r="BW166" s="51"/>
      <c r="BX166" s="51"/>
      <c r="BY166" s="51"/>
      <c r="BZ166" s="51"/>
      <c r="CA166" s="51"/>
      <c r="CB166" s="51"/>
      <c r="CC166" s="51"/>
      <c r="CD166" s="51"/>
      <c r="CE166" s="51"/>
      <c r="CF166" s="51"/>
      <c r="CG166" s="51"/>
    </row>
    <row r="167" ht="30.0"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c r="BA167" s="51"/>
      <c r="BB167" s="51"/>
      <c r="BC167" s="51"/>
      <c r="BD167" s="51"/>
      <c r="BE167" s="51"/>
      <c r="BF167" s="51"/>
      <c r="BG167" s="51"/>
      <c r="BH167" s="51"/>
      <c r="BI167" s="51"/>
      <c r="BJ167" s="51"/>
      <c r="BK167" s="51"/>
      <c r="BL167" s="51"/>
      <c r="BM167" s="51"/>
      <c r="BN167" s="51"/>
      <c r="BO167" s="51"/>
      <c r="BP167" s="51"/>
      <c r="BQ167" s="51"/>
      <c r="BR167" s="51"/>
      <c r="BS167" s="51"/>
      <c r="BT167" s="51"/>
      <c r="BU167" s="51"/>
      <c r="BV167" s="51"/>
      <c r="BW167" s="51"/>
      <c r="BX167" s="51"/>
      <c r="BY167" s="51"/>
      <c r="BZ167" s="51"/>
      <c r="CA167" s="51"/>
      <c r="CB167" s="51"/>
      <c r="CC167" s="51"/>
      <c r="CD167" s="51"/>
      <c r="CE167" s="51"/>
      <c r="CF167" s="51"/>
      <c r="CG167" s="51"/>
    </row>
    <row r="168" ht="30.0"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c r="BA168" s="51"/>
      <c r="BB168" s="51"/>
      <c r="BC168" s="51"/>
      <c r="BD168" s="51"/>
      <c r="BE168" s="51"/>
      <c r="BF168" s="51"/>
      <c r="BG168" s="51"/>
      <c r="BH168" s="51"/>
      <c r="BI168" s="51"/>
      <c r="BJ168" s="51"/>
      <c r="BK168" s="51"/>
      <c r="BL168" s="51"/>
      <c r="BM168" s="51"/>
      <c r="BN168" s="51"/>
      <c r="BO168" s="51"/>
      <c r="BP168" s="51"/>
      <c r="BQ168" s="51"/>
      <c r="BR168" s="51"/>
      <c r="BS168" s="51"/>
      <c r="BT168" s="51"/>
      <c r="BU168" s="51"/>
      <c r="BV168" s="51"/>
      <c r="BW168" s="51"/>
      <c r="BX168" s="51"/>
      <c r="BY168" s="51"/>
      <c r="BZ168" s="51"/>
      <c r="CA168" s="51"/>
      <c r="CB168" s="51"/>
      <c r="CC168" s="51"/>
      <c r="CD168" s="51"/>
      <c r="CE168" s="51"/>
      <c r="CF168" s="51"/>
      <c r="CG168" s="51"/>
    </row>
    <row r="169" ht="30.0"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c r="BA169" s="51"/>
      <c r="BB169" s="51"/>
      <c r="BC169" s="51"/>
      <c r="BD169" s="51"/>
      <c r="BE169" s="51"/>
      <c r="BF169" s="51"/>
      <c r="BG169" s="51"/>
      <c r="BH169" s="51"/>
      <c r="BI169" s="51"/>
      <c r="BJ169" s="51"/>
      <c r="BK169" s="51"/>
      <c r="BL169" s="51"/>
      <c r="BM169" s="51"/>
      <c r="BN169" s="51"/>
      <c r="BO169" s="51"/>
      <c r="BP169" s="51"/>
      <c r="BQ169" s="51"/>
      <c r="BR169" s="51"/>
      <c r="BS169" s="51"/>
      <c r="BT169" s="51"/>
      <c r="BU169" s="51"/>
      <c r="BV169" s="51"/>
      <c r="BW169" s="51"/>
      <c r="BX169" s="51"/>
      <c r="BY169" s="51"/>
      <c r="BZ169" s="51"/>
      <c r="CA169" s="51"/>
      <c r="CB169" s="51"/>
      <c r="CC169" s="51"/>
      <c r="CD169" s="51"/>
      <c r="CE169" s="51"/>
      <c r="CF169" s="51"/>
      <c r="CG169" s="51"/>
    </row>
    <row r="170" ht="30.0"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c r="BA170" s="51"/>
      <c r="BB170" s="51"/>
      <c r="BC170" s="51"/>
      <c r="BD170" s="51"/>
      <c r="BE170" s="51"/>
      <c r="BF170" s="51"/>
      <c r="BG170" s="51"/>
      <c r="BH170" s="51"/>
      <c r="BI170" s="51"/>
      <c r="BJ170" s="51"/>
      <c r="BK170" s="51"/>
      <c r="BL170" s="51"/>
      <c r="BM170" s="51"/>
      <c r="BN170" s="51"/>
      <c r="BO170" s="51"/>
      <c r="BP170" s="51"/>
      <c r="BQ170" s="51"/>
      <c r="BR170" s="51"/>
      <c r="BS170" s="51"/>
      <c r="BT170" s="51"/>
      <c r="BU170" s="51"/>
      <c r="BV170" s="51"/>
      <c r="BW170" s="51"/>
      <c r="BX170" s="51"/>
      <c r="BY170" s="51"/>
      <c r="BZ170" s="51"/>
      <c r="CA170" s="51"/>
      <c r="CB170" s="51"/>
      <c r="CC170" s="51"/>
      <c r="CD170" s="51"/>
      <c r="CE170" s="51"/>
      <c r="CF170" s="51"/>
      <c r="CG170" s="51"/>
    </row>
    <row r="171" ht="30.0"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c r="BA171" s="51"/>
      <c r="BB171" s="51"/>
      <c r="BC171" s="51"/>
      <c r="BD171" s="51"/>
      <c r="BE171" s="51"/>
      <c r="BF171" s="51"/>
      <c r="BG171" s="51"/>
      <c r="BH171" s="51"/>
      <c r="BI171" s="51"/>
      <c r="BJ171" s="51"/>
      <c r="BK171" s="51"/>
      <c r="BL171" s="51"/>
      <c r="BM171" s="51"/>
      <c r="BN171" s="51"/>
      <c r="BO171" s="51"/>
      <c r="BP171" s="51"/>
      <c r="BQ171" s="51"/>
      <c r="BR171" s="51"/>
      <c r="BS171" s="51"/>
      <c r="BT171" s="51"/>
      <c r="BU171" s="51"/>
      <c r="BV171" s="51"/>
      <c r="BW171" s="51"/>
      <c r="BX171" s="51"/>
      <c r="BY171" s="51"/>
      <c r="BZ171" s="51"/>
      <c r="CA171" s="51"/>
      <c r="CB171" s="51"/>
      <c r="CC171" s="51"/>
      <c r="CD171" s="51"/>
      <c r="CE171" s="51"/>
      <c r="CF171" s="51"/>
      <c r="CG171" s="51"/>
    </row>
    <row r="172" ht="30.0"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c r="BZ172" s="51"/>
      <c r="CA172" s="51"/>
      <c r="CB172" s="51"/>
      <c r="CC172" s="51"/>
      <c r="CD172" s="51"/>
      <c r="CE172" s="51"/>
      <c r="CF172" s="51"/>
      <c r="CG172" s="51"/>
    </row>
    <row r="173" ht="30.0"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51"/>
      <c r="CE173" s="51"/>
      <c r="CF173" s="51"/>
      <c r="CG173" s="51"/>
    </row>
    <row r="174" ht="30.0"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c r="BA174" s="51"/>
      <c r="BB174" s="51"/>
      <c r="BC174" s="51"/>
      <c r="BD174" s="51"/>
      <c r="BE174" s="51"/>
      <c r="BF174" s="51"/>
      <c r="BG174" s="51"/>
      <c r="BH174" s="51"/>
      <c r="BI174" s="51"/>
      <c r="BJ174" s="51"/>
      <c r="BK174" s="51"/>
      <c r="BL174" s="51"/>
      <c r="BM174" s="51"/>
      <c r="BN174" s="51"/>
      <c r="BO174" s="51"/>
      <c r="BP174" s="51"/>
      <c r="BQ174" s="51"/>
      <c r="BR174" s="51"/>
      <c r="BS174" s="51"/>
      <c r="BT174" s="51"/>
      <c r="BU174" s="51"/>
      <c r="BV174" s="51"/>
      <c r="BW174" s="51"/>
      <c r="BX174" s="51"/>
      <c r="BY174" s="51"/>
      <c r="BZ174" s="51"/>
      <c r="CA174" s="51"/>
      <c r="CB174" s="51"/>
      <c r="CC174" s="51"/>
      <c r="CD174" s="51"/>
      <c r="CE174" s="51"/>
      <c r="CF174" s="51"/>
      <c r="CG174" s="51"/>
    </row>
    <row r="175" ht="30.0"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c r="BA175" s="51"/>
      <c r="BB175" s="51"/>
      <c r="BC175" s="51"/>
      <c r="BD175" s="51"/>
      <c r="BE175" s="51"/>
      <c r="BF175" s="51"/>
      <c r="BG175" s="51"/>
      <c r="BH175" s="51"/>
      <c r="BI175" s="51"/>
      <c r="BJ175" s="51"/>
      <c r="BK175" s="51"/>
      <c r="BL175" s="51"/>
      <c r="BM175" s="51"/>
      <c r="BN175" s="51"/>
      <c r="BO175" s="51"/>
      <c r="BP175" s="51"/>
      <c r="BQ175" s="51"/>
      <c r="BR175" s="51"/>
      <c r="BS175" s="51"/>
      <c r="BT175" s="51"/>
      <c r="BU175" s="51"/>
      <c r="BV175" s="51"/>
      <c r="BW175" s="51"/>
      <c r="BX175" s="51"/>
      <c r="BY175" s="51"/>
      <c r="BZ175" s="51"/>
      <c r="CA175" s="51"/>
      <c r="CB175" s="51"/>
      <c r="CC175" s="51"/>
      <c r="CD175" s="51"/>
      <c r="CE175" s="51"/>
      <c r="CF175" s="51"/>
      <c r="CG175" s="51"/>
    </row>
    <row r="176" ht="30.0"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c r="BA176" s="51"/>
      <c r="BB176" s="51"/>
      <c r="BC176" s="51"/>
      <c r="BD176" s="51"/>
      <c r="BE176" s="51"/>
      <c r="BF176" s="51"/>
      <c r="BG176" s="51"/>
      <c r="BH176" s="51"/>
      <c r="BI176" s="51"/>
      <c r="BJ176" s="51"/>
      <c r="BK176" s="51"/>
      <c r="BL176" s="51"/>
      <c r="BM176" s="51"/>
      <c r="BN176" s="51"/>
      <c r="BO176" s="51"/>
      <c r="BP176" s="51"/>
      <c r="BQ176" s="51"/>
      <c r="BR176" s="51"/>
      <c r="BS176" s="51"/>
      <c r="BT176" s="51"/>
      <c r="BU176" s="51"/>
      <c r="BV176" s="51"/>
      <c r="BW176" s="51"/>
      <c r="BX176" s="51"/>
      <c r="BY176" s="51"/>
      <c r="BZ176" s="51"/>
      <c r="CA176" s="51"/>
      <c r="CB176" s="51"/>
      <c r="CC176" s="51"/>
      <c r="CD176" s="51"/>
      <c r="CE176" s="51"/>
      <c r="CF176" s="51"/>
      <c r="CG176" s="51"/>
    </row>
    <row r="177" ht="30.0"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c r="BA177" s="51"/>
      <c r="BB177" s="51"/>
      <c r="BC177" s="51"/>
      <c r="BD177" s="51"/>
      <c r="BE177" s="51"/>
      <c r="BF177" s="51"/>
      <c r="BG177" s="51"/>
      <c r="BH177" s="51"/>
      <c r="BI177" s="51"/>
      <c r="BJ177" s="51"/>
      <c r="BK177" s="51"/>
      <c r="BL177" s="51"/>
      <c r="BM177" s="51"/>
      <c r="BN177" s="51"/>
      <c r="BO177" s="51"/>
      <c r="BP177" s="51"/>
      <c r="BQ177" s="51"/>
      <c r="BR177" s="51"/>
      <c r="BS177" s="51"/>
      <c r="BT177" s="51"/>
      <c r="BU177" s="51"/>
      <c r="BV177" s="51"/>
      <c r="BW177" s="51"/>
      <c r="BX177" s="51"/>
      <c r="BY177" s="51"/>
      <c r="BZ177" s="51"/>
      <c r="CA177" s="51"/>
      <c r="CB177" s="51"/>
      <c r="CC177" s="51"/>
      <c r="CD177" s="51"/>
      <c r="CE177" s="51"/>
      <c r="CF177" s="51"/>
      <c r="CG177" s="51"/>
    </row>
    <row r="178" ht="30.0"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c r="BA178" s="51"/>
      <c r="BB178" s="51"/>
      <c r="BC178" s="51"/>
      <c r="BD178" s="51"/>
      <c r="BE178" s="51"/>
      <c r="BF178" s="51"/>
      <c r="BG178" s="51"/>
      <c r="BH178" s="51"/>
      <c r="BI178" s="51"/>
      <c r="BJ178" s="51"/>
      <c r="BK178" s="51"/>
      <c r="BL178" s="51"/>
      <c r="BM178" s="51"/>
      <c r="BN178" s="51"/>
      <c r="BO178" s="51"/>
      <c r="BP178" s="51"/>
      <c r="BQ178" s="51"/>
      <c r="BR178" s="51"/>
      <c r="BS178" s="51"/>
      <c r="BT178" s="51"/>
      <c r="BU178" s="51"/>
      <c r="BV178" s="51"/>
      <c r="BW178" s="51"/>
      <c r="BX178" s="51"/>
      <c r="BY178" s="51"/>
      <c r="BZ178" s="51"/>
      <c r="CA178" s="51"/>
      <c r="CB178" s="51"/>
      <c r="CC178" s="51"/>
      <c r="CD178" s="51"/>
      <c r="CE178" s="51"/>
      <c r="CF178" s="51"/>
      <c r="CG178" s="51"/>
    </row>
    <row r="179" ht="30.0"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c r="BA179" s="51"/>
      <c r="BB179" s="51"/>
      <c r="BC179" s="51"/>
      <c r="BD179" s="51"/>
      <c r="BE179" s="51"/>
      <c r="BF179" s="51"/>
      <c r="BG179" s="51"/>
      <c r="BH179" s="51"/>
      <c r="BI179" s="51"/>
      <c r="BJ179" s="51"/>
      <c r="BK179" s="51"/>
      <c r="BL179" s="51"/>
      <c r="BM179" s="51"/>
      <c r="BN179" s="51"/>
      <c r="BO179" s="51"/>
      <c r="BP179" s="51"/>
      <c r="BQ179" s="51"/>
      <c r="BR179" s="51"/>
      <c r="BS179" s="51"/>
      <c r="BT179" s="51"/>
      <c r="BU179" s="51"/>
      <c r="BV179" s="51"/>
      <c r="BW179" s="51"/>
      <c r="BX179" s="51"/>
      <c r="BY179" s="51"/>
      <c r="BZ179" s="51"/>
      <c r="CA179" s="51"/>
      <c r="CB179" s="51"/>
      <c r="CC179" s="51"/>
      <c r="CD179" s="51"/>
      <c r="CE179" s="51"/>
      <c r="CF179" s="51"/>
      <c r="CG179" s="51"/>
    </row>
    <row r="180" ht="30.0"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c r="BA180" s="51"/>
      <c r="BB180" s="51"/>
      <c r="BC180" s="51"/>
      <c r="BD180" s="51"/>
      <c r="BE180" s="51"/>
      <c r="BF180" s="51"/>
      <c r="BG180" s="51"/>
      <c r="BH180" s="51"/>
      <c r="BI180" s="51"/>
      <c r="BJ180" s="51"/>
      <c r="BK180" s="51"/>
      <c r="BL180" s="51"/>
      <c r="BM180" s="51"/>
      <c r="BN180" s="51"/>
      <c r="BO180" s="51"/>
      <c r="BP180" s="51"/>
      <c r="BQ180" s="51"/>
      <c r="BR180" s="51"/>
      <c r="BS180" s="51"/>
      <c r="BT180" s="51"/>
      <c r="BU180" s="51"/>
      <c r="BV180" s="51"/>
      <c r="BW180" s="51"/>
      <c r="BX180" s="51"/>
      <c r="BY180" s="51"/>
      <c r="BZ180" s="51"/>
      <c r="CA180" s="51"/>
      <c r="CB180" s="51"/>
      <c r="CC180" s="51"/>
      <c r="CD180" s="51"/>
      <c r="CE180" s="51"/>
      <c r="CF180" s="51"/>
      <c r="CG180" s="51"/>
    </row>
    <row r="181" ht="30.0"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c r="BA181" s="51"/>
      <c r="BB181" s="51"/>
      <c r="BC181" s="51"/>
      <c r="BD181" s="51"/>
      <c r="BE181" s="51"/>
      <c r="BF181" s="51"/>
      <c r="BG181" s="51"/>
      <c r="BH181" s="51"/>
      <c r="BI181" s="51"/>
      <c r="BJ181" s="51"/>
      <c r="BK181" s="51"/>
      <c r="BL181" s="51"/>
      <c r="BM181" s="51"/>
      <c r="BN181" s="51"/>
      <c r="BO181" s="51"/>
      <c r="BP181" s="51"/>
      <c r="BQ181" s="51"/>
      <c r="BR181" s="51"/>
      <c r="BS181" s="51"/>
      <c r="BT181" s="51"/>
      <c r="BU181" s="51"/>
      <c r="BV181" s="51"/>
      <c r="BW181" s="51"/>
      <c r="BX181" s="51"/>
      <c r="BY181" s="51"/>
      <c r="BZ181" s="51"/>
      <c r="CA181" s="51"/>
      <c r="CB181" s="51"/>
      <c r="CC181" s="51"/>
      <c r="CD181" s="51"/>
      <c r="CE181" s="51"/>
      <c r="CF181" s="51"/>
      <c r="CG181" s="51"/>
    </row>
    <row r="182" ht="30.0"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c r="BA182" s="51"/>
      <c r="BB182" s="51"/>
      <c r="BC182" s="51"/>
      <c r="BD182" s="51"/>
      <c r="BE182" s="51"/>
      <c r="BF182" s="51"/>
      <c r="BG182" s="51"/>
      <c r="BH182" s="51"/>
      <c r="BI182" s="51"/>
      <c r="BJ182" s="51"/>
      <c r="BK182" s="51"/>
      <c r="BL182" s="51"/>
      <c r="BM182" s="51"/>
      <c r="BN182" s="51"/>
      <c r="BO182" s="51"/>
      <c r="BP182" s="51"/>
      <c r="BQ182" s="51"/>
      <c r="BR182" s="51"/>
      <c r="BS182" s="51"/>
      <c r="BT182" s="51"/>
      <c r="BU182" s="51"/>
      <c r="BV182" s="51"/>
      <c r="BW182" s="51"/>
      <c r="BX182" s="51"/>
      <c r="BY182" s="51"/>
      <c r="BZ182" s="51"/>
      <c r="CA182" s="51"/>
      <c r="CB182" s="51"/>
      <c r="CC182" s="51"/>
      <c r="CD182" s="51"/>
      <c r="CE182" s="51"/>
      <c r="CF182" s="51"/>
      <c r="CG182" s="51"/>
    </row>
    <row r="183" ht="30.0"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c r="BA183" s="51"/>
      <c r="BB183" s="51"/>
      <c r="BC183" s="51"/>
      <c r="BD183" s="51"/>
      <c r="BE183" s="51"/>
      <c r="BF183" s="51"/>
      <c r="BG183" s="51"/>
      <c r="BH183" s="51"/>
      <c r="BI183" s="51"/>
      <c r="BJ183" s="51"/>
      <c r="BK183" s="51"/>
      <c r="BL183" s="51"/>
      <c r="BM183" s="51"/>
      <c r="BN183" s="51"/>
      <c r="BO183" s="51"/>
      <c r="BP183" s="51"/>
      <c r="BQ183" s="51"/>
      <c r="BR183" s="51"/>
      <c r="BS183" s="51"/>
      <c r="BT183" s="51"/>
      <c r="BU183" s="51"/>
      <c r="BV183" s="51"/>
      <c r="BW183" s="51"/>
      <c r="BX183" s="51"/>
      <c r="BY183" s="51"/>
      <c r="BZ183" s="51"/>
      <c r="CA183" s="51"/>
      <c r="CB183" s="51"/>
      <c r="CC183" s="51"/>
      <c r="CD183" s="51"/>
      <c r="CE183" s="51"/>
      <c r="CF183" s="51"/>
      <c r="CG183" s="51"/>
    </row>
    <row r="184" ht="30.0"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c r="BA184" s="51"/>
      <c r="BB184" s="51"/>
      <c r="BC184" s="51"/>
      <c r="BD184" s="51"/>
      <c r="BE184" s="51"/>
      <c r="BF184" s="51"/>
      <c r="BG184" s="51"/>
      <c r="BH184" s="51"/>
      <c r="BI184" s="51"/>
      <c r="BJ184" s="51"/>
      <c r="BK184" s="51"/>
      <c r="BL184" s="51"/>
      <c r="BM184" s="51"/>
      <c r="BN184" s="51"/>
      <c r="BO184" s="51"/>
      <c r="BP184" s="51"/>
      <c r="BQ184" s="51"/>
      <c r="BR184" s="51"/>
      <c r="BS184" s="51"/>
      <c r="BT184" s="51"/>
      <c r="BU184" s="51"/>
      <c r="BV184" s="51"/>
      <c r="BW184" s="51"/>
      <c r="BX184" s="51"/>
      <c r="BY184" s="51"/>
      <c r="BZ184" s="51"/>
      <c r="CA184" s="51"/>
      <c r="CB184" s="51"/>
      <c r="CC184" s="51"/>
      <c r="CD184" s="51"/>
      <c r="CE184" s="51"/>
      <c r="CF184" s="51"/>
      <c r="CG184" s="51"/>
    </row>
    <row r="185" ht="30.0"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c r="BA185" s="51"/>
      <c r="BB185" s="51"/>
      <c r="BC185" s="51"/>
      <c r="BD185" s="51"/>
      <c r="BE185" s="51"/>
      <c r="BF185" s="51"/>
      <c r="BG185" s="51"/>
      <c r="BH185" s="51"/>
      <c r="BI185" s="51"/>
      <c r="BJ185" s="51"/>
      <c r="BK185" s="51"/>
      <c r="BL185" s="51"/>
      <c r="BM185" s="51"/>
      <c r="BN185" s="51"/>
      <c r="BO185" s="51"/>
      <c r="BP185" s="51"/>
      <c r="BQ185" s="51"/>
      <c r="BR185" s="51"/>
      <c r="BS185" s="51"/>
      <c r="BT185" s="51"/>
      <c r="BU185" s="51"/>
      <c r="BV185" s="51"/>
      <c r="BW185" s="51"/>
      <c r="BX185" s="51"/>
      <c r="BY185" s="51"/>
      <c r="BZ185" s="51"/>
      <c r="CA185" s="51"/>
      <c r="CB185" s="51"/>
      <c r="CC185" s="51"/>
      <c r="CD185" s="51"/>
      <c r="CE185" s="51"/>
      <c r="CF185" s="51"/>
      <c r="CG185" s="51"/>
    </row>
    <row r="186" ht="30.0"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c r="BA186" s="51"/>
      <c r="BB186" s="51"/>
      <c r="BC186" s="51"/>
      <c r="BD186" s="51"/>
      <c r="BE186" s="51"/>
      <c r="BF186" s="51"/>
      <c r="BG186" s="51"/>
      <c r="BH186" s="51"/>
      <c r="BI186" s="51"/>
      <c r="BJ186" s="51"/>
      <c r="BK186" s="51"/>
      <c r="BL186" s="51"/>
      <c r="BM186" s="51"/>
      <c r="BN186" s="51"/>
      <c r="BO186" s="51"/>
      <c r="BP186" s="51"/>
      <c r="BQ186" s="51"/>
      <c r="BR186" s="51"/>
      <c r="BS186" s="51"/>
      <c r="BT186" s="51"/>
      <c r="BU186" s="51"/>
      <c r="BV186" s="51"/>
      <c r="BW186" s="51"/>
      <c r="BX186" s="51"/>
      <c r="BY186" s="51"/>
      <c r="BZ186" s="51"/>
      <c r="CA186" s="51"/>
      <c r="CB186" s="51"/>
      <c r="CC186" s="51"/>
      <c r="CD186" s="51"/>
      <c r="CE186" s="51"/>
      <c r="CF186" s="51"/>
      <c r="CG186" s="51"/>
    </row>
    <row r="187" ht="30.0"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c r="BA187" s="51"/>
      <c r="BB187" s="51"/>
      <c r="BC187" s="51"/>
      <c r="BD187" s="51"/>
      <c r="BE187" s="51"/>
      <c r="BF187" s="51"/>
      <c r="BG187" s="51"/>
      <c r="BH187" s="51"/>
      <c r="BI187" s="51"/>
      <c r="BJ187" s="51"/>
      <c r="BK187" s="51"/>
      <c r="BL187" s="51"/>
      <c r="BM187" s="51"/>
      <c r="BN187" s="51"/>
      <c r="BO187" s="51"/>
      <c r="BP187" s="51"/>
      <c r="BQ187" s="51"/>
      <c r="BR187" s="51"/>
      <c r="BS187" s="51"/>
      <c r="BT187" s="51"/>
      <c r="BU187" s="51"/>
      <c r="BV187" s="51"/>
      <c r="BW187" s="51"/>
      <c r="BX187" s="51"/>
      <c r="BY187" s="51"/>
      <c r="BZ187" s="51"/>
      <c r="CA187" s="51"/>
      <c r="CB187" s="51"/>
      <c r="CC187" s="51"/>
      <c r="CD187" s="51"/>
      <c r="CE187" s="51"/>
      <c r="CF187" s="51"/>
      <c r="CG187" s="51"/>
    </row>
    <row r="188" ht="30.0"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c r="BA188" s="51"/>
      <c r="BB188" s="51"/>
      <c r="BC188" s="51"/>
      <c r="BD188" s="51"/>
      <c r="BE188" s="51"/>
      <c r="BF188" s="51"/>
      <c r="BG188" s="51"/>
      <c r="BH188" s="51"/>
      <c r="BI188" s="51"/>
      <c r="BJ188" s="51"/>
      <c r="BK188" s="51"/>
      <c r="BL188" s="51"/>
      <c r="BM188" s="51"/>
      <c r="BN188" s="51"/>
      <c r="BO188" s="51"/>
      <c r="BP188" s="51"/>
      <c r="BQ188" s="51"/>
      <c r="BR188" s="51"/>
      <c r="BS188" s="51"/>
      <c r="BT188" s="51"/>
      <c r="BU188" s="51"/>
      <c r="BV188" s="51"/>
      <c r="BW188" s="51"/>
      <c r="BX188" s="51"/>
      <c r="BY188" s="51"/>
      <c r="BZ188" s="51"/>
      <c r="CA188" s="51"/>
      <c r="CB188" s="51"/>
      <c r="CC188" s="51"/>
      <c r="CD188" s="51"/>
      <c r="CE188" s="51"/>
      <c r="CF188" s="51"/>
      <c r="CG188" s="51"/>
    </row>
    <row r="189" ht="30.0"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c r="BA189" s="51"/>
      <c r="BB189" s="51"/>
      <c r="BC189" s="51"/>
      <c r="BD189" s="51"/>
      <c r="BE189" s="51"/>
      <c r="BF189" s="51"/>
      <c r="BG189" s="51"/>
      <c r="BH189" s="51"/>
      <c r="BI189" s="51"/>
      <c r="BJ189" s="51"/>
      <c r="BK189" s="51"/>
      <c r="BL189" s="51"/>
      <c r="BM189" s="51"/>
      <c r="BN189" s="51"/>
      <c r="BO189" s="51"/>
      <c r="BP189" s="51"/>
      <c r="BQ189" s="51"/>
      <c r="BR189" s="51"/>
      <c r="BS189" s="51"/>
      <c r="BT189" s="51"/>
      <c r="BU189" s="51"/>
      <c r="BV189" s="51"/>
      <c r="BW189" s="51"/>
      <c r="BX189" s="51"/>
      <c r="BY189" s="51"/>
      <c r="BZ189" s="51"/>
      <c r="CA189" s="51"/>
      <c r="CB189" s="51"/>
      <c r="CC189" s="51"/>
      <c r="CD189" s="51"/>
      <c r="CE189" s="51"/>
      <c r="CF189" s="51"/>
      <c r="CG189" s="51"/>
    </row>
    <row r="190" ht="30.0"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c r="BA190" s="51"/>
      <c r="BB190" s="51"/>
      <c r="BC190" s="51"/>
      <c r="BD190" s="51"/>
      <c r="BE190" s="51"/>
      <c r="BF190" s="51"/>
      <c r="BG190" s="51"/>
      <c r="BH190" s="51"/>
      <c r="BI190" s="51"/>
      <c r="BJ190" s="51"/>
      <c r="BK190" s="51"/>
      <c r="BL190" s="51"/>
      <c r="BM190" s="51"/>
      <c r="BN190" s="51"/>
      <c r="BO190" s="51"/>
      <c r="BP190" s="51"/>
      <c r="BQ190" s="51"/>
      <c r="BR190" s="51"/>
      <c r="BS190" s="51"/>
      <c r="BT190" s="51"/>
      <c r="BU190" s="51"/>
      <c r="BV190" s="51"/>
      <c r="BW190" s="51"/>
      <c r="BX190" s="51"/>
      <c r="BY190" s="51"/>
      <c r="BZ190" s="51"/>
      <c r="CA190" s="51"/>
      <c r="CB190" s="51"/>
      <c r="CC190" s="51"/>
      <c r="CD190" s="51"/>
      <c r="CE190" s="51"/>
      <c r="CF190" s="51"/>
      <c r="CG190" s="51"/>
    </row>
    <row r="191" ht="30.0"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c r="BA191" s="51"/>
      <c r="BB191" s="51"/>
      <c r="BC191" s="51"/>
      <c r="BD191" s="51"/>
      <c r="BE191" s="51"/>
      <c r="BF191" s="51"/>
      <c r="BG191" s="51"/>
      <c r="BH191" s="51"/>
      <c r="BI191" s="51"/>
      <c r="BJ191" s="51"/>
      <c r="BK191" s="51"/>
      <c r="BL191" s="51"/>
      <c r="BM191" s="51"/>
      <c r="BN191" s="51"/>
      <c r="BO191" s="51"/>
      <c r="BP191" s="51"/>
      <c r="BQ191" s="51"/>
      <c r="BR191" s="51"/>
      <c r="BS191" s="51"/>
      <c r="BT191" s="51"/>
      <c r="BU191" s="51"/>
      <c r="BV191" s="51"/>
      <c r="BW191" s="51"/>
      <c r="BX191" s="51"/>
      <c r="BY191" s="51"/>
      <c r="BZ191" s="51"/>
      <c r="CA191" s="51"/>
      <c r="CB191" s="51"/>
      <c r="CC191" s="51"/>
      <c r="CD191" s="51"/>
      <c r="CE191" s="51"/>
      <c r="CF191" s="51"/>
      <c r="CG191" s="51"/>
    </row>
    <row r="192" ht="30.0"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c r="BA192" s="51"/>
      <c r="BB192" s="51"/>
      <c r="BC192" s="51"/>
      <c r="BD192" s="51"/>
      <c r="BE192" s="51"/>
      <c r="BF192" s="51"/>
      <c r="BG192" s="51"/>
      <c r="BH192" s="51"/>
      <c r="BI192" s="51"/>
      <c r="BJ192" s="51"/>
      <c r="BK192" s="51"/>
      <c r="BL192" s="51"/>
      <c r="BM192" s="51"/>
      <c r="BN192" s="51"/>
      <c r="BO192" s="51"/>
      <c r="BP192" s="51"/>
      <c r="BQ192" s="51"/>
      <c r="BR192" s="51"/>
      <c r="BS192" s="51"/>
      <c r="BT192" s="51"/>
      <c r="BU192" s="51"/>
      <c r="BV192" s="51"/>
      <c r="BW192" s="51"/>
      <c r="BX192" s="51"/>
      <c r="BY192" s="51"/>
      <c r="BZ192" s="51"/>
      <c r="CA192" s="51"/>
      <c r="CB192" s="51"/>
      <c r="CC192" s="51"/>
      <c r="CD192" s="51"/>
      <c r="CE192" s="51"/>
      <c r="CF192" s="51"/>
      <c r="CG192" s="51"/>
    </row>
    <row r="193" ht="30.0"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c r="BA193" s="51"/>
      <c r="BB193" s="51"/>
      <c r="BC193" s="51"/>
      <c r="BD193" s="51"/>
      <c r="BE193" s="51"/>
      <c r="BF193" s="51"/>
      <c r="BG193" s="51"/>
      <c r="BH193" s="51"/>
      <c r="BI193" s="51"/>
      <c r="BJ193" s="51"/>
      <c r="BK193" s="51"/>
      <c r="BL193" s="51"/>
      <c r="BM193" s="51"/>
      <c r="BN193" s="51"/>
      <c r="BO193" s="51"/>
      <c r="BP193" s="51"/>
      <c r="BQ193" s="51"/>
      <c r="BR193" s="51"/>
      <c r="BS193" s="51"/>
      <c r="BT193" s="51"/>
      <c r="BU193" s="51"/>
      <c r="BV193" s="51"/>
      <c r="BW193" s="51"/>
      <c r="BX193" s="51"/>
      <c r="BY193" s="51"/>
      <c r="BZ193" s="51"/>
      <c r="CA193" s="51"/>
      <c r="CB193" s="51"/>
      <c r="CC193" s="51"/>
      <c r="CD193" s="51"/>
      <c r="CE193" s="51"/>
      <c r="CF193" s="51"/>
      <c r="CG193" s="51"/>
    </row>
    <row r="194" ht="30.0"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c r="BA194" s="51"/>
      <c r="BB194" s="51"/>
      <c r="BC194" s="51"/>
      <c r="BD194" s="51"/>
      <c r="BE194" s="51"/>
      <c r="BF194" s="51"/>
      <c r="BG194" s="51"/>
      <c r="BH194" s="51"/>
      <c r="BI194" s="51"/>
      <c r="BJ194" s="51"/>
      <c r="BK194" s="51"/>
      <c r="BL194" s="51"/>
      <c r="BM194" s="51"/>
      <c r="BN194" s="51"/>
      <c r="BO194" s="51"/>
      <c r="BP194" s="51"/>
      <c r="BQ194" s="51"/>
      <c r="BR194" s="51"/>
      <c r="BS194" s="51"/>
      <c r="BT194" s="51"/>
      <c r="BU194" s="51"/>
      <c r="BV194" s="51"/>
      <c r="BW194" s="51"/>
      <c r="BX194" s="51"/>
      <c r="BY194" s="51"/>
      <c r="BZ194" s="51"/>
      <c r="CA194" s="51"/>
      <c r="CB194" s="51"/>
      <c r="CC194" s="51"/>
      <c r="CD194" s="51"/>
      <c r="CE194" s="51"/>
      <c r="CF194" s="51"/>
      <c r="CG194" s="51"/>
    </row>
    <row r="195" ht="30.0"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c r="BA195" s="51"/>
      <c r="BB195" s="51"/>
      <c r="BC195" s="51"/>
      <c r="BD195" s="51"/>
      <c r="BE195" s="51"/>
      <c r="BF195" s="51"/>
      <c r="BG195" s="51"/>
      <c r="BH195" s="51"/>
      <c r="BI195" s="51"/>
      <c r="BJ195" s="51"/>
      <c r="BK195" s="51"/>
      <c r="BL195" s="51"/>
      <c r="BM195" s="51"/>
      <c r="BN195" s="51"/>
      <c r="BO195" s="51"/>
      <c r="BP195" s="51"/>
      <c r="BQ195" s="51"/>
      <c r="BR195" s="51"/>
      <c r="BS195" s="51"/>
      <c r="BT195" s="51"/>
      <c r="BU195" s="51"/>
      <c r="BV195" s="51"/>
      <c r="BW195" s="51"/>
      <c r="BX195" s="51"/>
      <c r="BY195" s="51"/>
      <c r="BZ195" s="51"/>
      <c r="CA195" s="51"/>
      <c r="CB195" s="51"/>
      <c r="CC195" s="51"/>
      <c r="CD195" s="51"/>
      <c r="CE195" s="51"/>
      <c r="CF195" s="51"/>
      <c r="CG195" s="51"/>
    </row>
    <row r="196" ht="30.0"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c r="BA196" s="51"/>
      <c r="BB196" s="51"/>
      <c r="BC196" s="51"/>
      <c r="BD196" s="51"/>
      <c r="BE196" s="51"/>
      <c r="BF196" s="51"/>
      <c r="BG196" s="51"/>
      <c r="BH196" s="51"/>
      <c r="BI196" s="51"/>
      <c r="BJ196" s="51"/>
      <c r="BK196" s="51"/>
      <c r="BL196" s="51"/>
      <c r="BM196" s="51"/>
      <c r="BN196" s="51"/>
      <c r="BO196" s="51"/>
      <c r="BP196" s="51"/>
      <c r="BQ196" s="51"/>
      <c r="BR196" s="51"/>
      <c r="BS196" s="51"/>
      <c r="BT196" s="51"/>
      <c r="BU196" s="51"/>
      <c r="BV196" s="51"/>
      <c r="BW196" s="51"/>
      <c r="BX196" s="51"/>
      <c r="BY196" s="51"/>
      <c r="BZ196" s="51"/>
      <c r="CA196" s="51"/>
      <c r="CB196" s="51"/>
      <c r="CC196" s="51"/>
      <c r="CD196" s="51"/>
      <c r="CE196" s="51"/>
      <c r="CF196" s="51"/>
      <c r="CG196" s="51"/>
    </row>
    <row r="197" ht="30.0"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c r="BA197" s="51"/>
      <c r="BB197" s="51"/>
      <c r="BC197" s="51"/>
      <c r="BD197" s="51"/>
      <c r="BE197" s="51"/>
      <c r="BF197" s="51"/>
      <c r="BG197" s="51"/>
      <c r="BH197" s="51"/>
      <c r="BI197" s="51"/>
      <c r="BJ197" s="51"/>
      <c r="BK197" s="51"/>
      <c r="BL197" s="51"/>
      <c r="BM197" s="51"/>
      <c r="BN197" s="51"/>
      <c r="BO197" s="51"/>
      <c r="BP197" s="51"/>
      <c r="BQ197" s="51"/>
      <c r="BR197" s="51"/>
      <c r="BS197" s="51"/>
      <c r="BT197" s="51"/>
      <c r="BU197" s="51"/>
      <c r="BV197" s="51"/>
      <c r="BW197" s="51"/>
      <c r="BX197" s="51"/>
      <c r="BY197" s="51"/>
      <c r="BZ197" s="51"/>
      <c r="CA197" s="51"/>
      <c r="CB197" s="51"/>
      <c r="CC197" s="51"/>
      <c r="CD197" s="51"/>
      <c r="CE197" s="51"/>
      <c r="CF197" s="51"/>
      <c r="CG197" s="51"/>
    </row>
    <row r="198" ht="30.0"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c r="BA198" s="51"/>
      <c r="BB198" s="51"/>
      <c r="BC198" s="51"/>
      <c r="BD198" s="51"/>
      <c r="BE198" s="51"/>
      <c r="BF198" s="51"/>
      <c r="BG198" s="51"/>
      <c r="BH198" s="51"/>
      <c r="BI198" s="51"/>
      <c r="BJ198" s="51"/>
      <c r="BK198" s="51"/>
      <c r="BL198" s="51"/>
      <c r="BM198" s="51"/>
      <c r="BN198" s="51"/>
      <c r="BO198" s="51"/>
      <c r="BP198" s="51"/>
      <c r="BQ198" s="51"/>
      <c r="BR198" s="51"/>
      <c r="BS198" s="51"/>
      <c r="BT198" s="51"/>
      <c r="BU198" s="51"/>
      <c r="BV198" s="51"/>
      <c r="BW198" s="51"/>
      <c r="BX198" s="51"/>
      <c r="BY198" s="51"/>
      <c r="BZ198" s="51"/>
      <c r="CA198" s="51"/>
      <c r="CB198" s="51"/>
      <c r="CC198" s="51"/>
      <c r="CD198" s="51"/>
      <c r="CE198" s="51"/>
      <c r="CF198" s="51"/>
      <c r="CG198" s="51"/>
    </row>
    <row r="199" ht="30.0"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c r="BA199" s="51"/>
      <c r="BB199" s="51"/>
      <c r="BC199" s="51"/>
      <c r="BD199" s="51"/>
      <c r="BE199" s="51"/>
      <c r="BF199" s="51"/>
      <c r="BG199" s="51"/>
      <c r="BH199" s="51"/>
      <c r="BI199" s="51"/>
      <c r="BJ199" s="51"/>
      <c r="BK199" s="51"/>
      <c r="BL199" s="51"/>
      <c r="BM199" s="51"/>
      <c r="BN199" s="51"/>
      <c r="BO199" s="51"/>
      <c r="BP199" s="51"/>
      <c r="BQ199" s="51"/>
      <c r="BR199" s="51"/>
      <c r="BS199" s="51"/>
      <c r="BT199" s="51"/>
      <c r="BU199" s="51"/>
      <c r="BV199" s="51"/>
      <c r="BW199" s="51"/>
      <c r="BX199" s="51"/>
      <c r="BY199" s="51"/>
      <c r="BZ199" s="51"/>
      <c r="CA199" s="51"/>
      <c r="CB199" s="51"/>
      <c r="CC199" s="51"/>
      <c r="CD199" s="51"/>
      <c r="CE199" s="51"/>
      <c r="CF199" s="51"/>
      <c r="CG199" s="51"/>
    </row>
    <row r="200" ht="30.0"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c r="BA200" s="51"/>
      <c r="BB200" s="51"/>
      <c r="BC200" s="51"/>
      <c r="BD200" s="51"/>
      <c r="BE200" s="51"/>
      <c r="BF200" s="51"/>
      <c r="BG200" s="51"/>
      <c r="BH200" s="51"/>
      <c r="BI200" s="51"/>
      <c r="BJ200" s="51"/>
      <c r="BK200" s="51"/>
      <c r="BL200" s="51"/>
      <c r="BM200" s="51"/>
      <c r="BN200" s="51"/>
      <c r="BO200" s="51"/>
      <c r="BP200" s="51"/>
      <c r="BQ200" s="51"/>
      <c r="BR200" s="51"/>
      <c r="BS200" s="51"/>
      <c r="BT200" s="51"/>
      <c r="BU200" s="51"/>
      <c r="BV200" s="51"/>
      <c r="BW200" s="51"/>
      <c r="BX200" s="51"/>
      <c r="BY200" s="51"/>
      <c r="BZ200" s="51"/>
      <c r="CA200" s="51"/>
      <c r="CB200" s="51"/>
      <c r="CC200" s="51"/>
      <c r="CD200" s="51"/>
      <c r="CE200" s="51"/>
      <c r="CF200" s="51"/>
      <c r="CG200" s="51"/>
    </row>
    <row r="201" ht="30.0"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c r="BA201" s="51"/>
      <c r="BB201" s="51"/>
      <c r="BC201" s="51"/>
      <c r="BD201" s="51"/>
      <c r="BE201" s="51"/>
      <c r="BF201" s="51"/>
      <c r="BG201" s="51"/>
      <c r="BH201" s="51"/>
      <c r="BI201" s="51"/>
      <c r="BJ201" s="51"/>
      <c r="BK201" s="51"/>
      <c r="BL201" s="51"/>
      <c r="BM201" s="51"/>
      <c r="BN201" s="51"/>
      <c r="BO201" s="51"/>
      <c r="BP201" s="51"/>
      <c r="BQ201" s="51"/>
      <c r="BR201" s="51"/>
      <c r="BS201" s="51"/>
      <c r="BT201" s="51"/>
      <c r="BU201" s="51"/>
      <c r="BV201" s="51"/>
      <c r="BW201" s="51"/>
      <c r="BX201" s="51"/>
      <c r="BY201" s="51"/>
      <c r="BZ201" s="51"/>
      <c r="CA201" s="51"/>
      <c r="CB201" s="51"/>
      <c r="CC201" s="51"/>
      <c r="CD201" s="51"/>
      <c r="CE201" s="51"/>
      <c r="CF201" s="51"/>
      <c r="CG201" s="51"/>
    </row>
    <row r="202" ht="30.0"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c r="BA202" s="51"/>
      <c r="BB202" s="51"/>
      <c r="BC202" s="51"/>
      <c r="BD202" s="51"/>
      <c r="BE202" s="51"/>
      <c r="BF202" s="51"/>
      <c r="BG202" s="51"/>
      <c r="BH202" s="51"/>
      <c r="BI202" s="51"/>
      <c r="BJ202" s="51"/>
      <c r="BK202" s="51"/>
      <c r="BL202" s="51"/>
      <c r="BM202" s="51"/>
      <c r="BN202" s="51"/>
      <c r="BO202" s="51"/>
      <c r="BP202" s="51"/>
      <c r="BQ202" s="51"/>
      <c r="BR202" s="51"/>
      <c r="BS202" s="51"/>
      <c r="BT202" s="51"/>
      <c r="BU202" s="51"/>
      <c r="BV202" s="51"/>
      <c r="BW202" s="51"/>
      <c r="BX202" s="51"/>
      <c r="BY202" s="51"/>
      <c r="BZ202" s="51"/>
      <c r="CA202" s="51"/>
      <c r="CB202" s="51"/>
      <c r="CC202" s="51"/>
      <c r="CD202" s="51"/>
      <c r="CE202" s="51"/>
      <c r="CF202" s="51"/>
      <c r="CG202" s="51"/>
    </row>
    <row r="203" ht="30.0"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c r="BA203" s="51"/>
      <c r="BB203" s="51"/>
      <c r="BC203" s="51"/>
      <c r="BD203" s="51"/>
      <c r="BE203" s="51"/>
      <c r="BF203" s="51"/>
      <c r="BG203" s="51"/>
      <c r="BH203" s="51"/>
      <c r="BI203" s="51"/>
      <c r="BJ203" s="51"/>
      <c r="BK203" s="51"/>
      <c r="BL203" s="51"/>
      <c r="BM203" s="51"/>
      <c r="BN203" s="51"/>
      <c r="BO203" s="51"/>
      <c r="BP203" s="51"/>
      <c r="BQ203" s="51"/>
      <c r="BR203" s="51"/>
      <c r="BS203" s="51"/>
      <c r="BT203" s="51"/>
      <c r="BU203" s="51"/>
      <c r="BV203" s="51"/>
      <c r="BW203" s="51"/>
      <c r="BX203" s="51"/>
      <c r="BY203" s="51"/>
      <c r="BZ203" s="51"/>
      <c r="CA203" s="51"/>
      <c r="CB203" s="51"/>
      <c r="CC203" s="51"/>
      <c r="CD203" s="51"/>
      <c r="CE203" s="51"/>
      <c r="CF203" s="51"/>
      <c r="CG203" s="51"/>
    </row>
    <row r="204" ht="30.0"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c r="BA204" s="51"/>
      <c r="BB204" s="51"/>
      <c r="BC204" s="51"/>
      <c r="BD204" s="51"/>
      <c r="BE204" s="51"/>
      <c r="BF204" s="51"/>
      <c r="BG204" s="51"/>
      <c r="BH204" s="51"/>
      <c r="BI204" s="51"/>
      <c r="BJ204" s="51"/>
      <c r="BK204" s="51"/>
      <c r="BL204" s="51"/>
      <c r="BM204" s="51"/>
      <c r="BN204" s="51"/>
      <c r="BO204" s="51"/>
      <c r="BP204" s="51"/>
      <c r="BQ204" s="51"/>
      <c r="BR204" s="51"/>
      <c r="BS204" s="51"/>
      <c r="BT204" s="51"/>
      <c r="BU204" s="51"/>
      <c r="BV204" s="51"/>
      <c r="BW204" s="51"/>
      <c r="BX204" s="51"/>
      <c r="BY204" s="51"/>
      <c r="BZ204" s="51"/>
      <c r="CA204" s="51"/>
      <c r="CB204" s="51"/>
      <c r="CC204" s="51"/>
      <c r="CD204" s="51"/>
      <c r="CE204" s="51"/>
      <c r="CF204" s="51"/>
      <c r="CG204" s="51"/>
    </row>
    <row r="205" ht="30.0"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c r="BA205" s="51"/>
      <c r="BB205" s="51"/>
      <c r="BC205" s="51"/>
      <c r="BD205" s="51"/>
      <c r="BE205" s="51"/>
      <c r="BF205" s="51"/>
      <c r="BG205" s="51"/>
      <c r="BH205" s="51"/>
      <c r="BI205" s="51"/>
      <c r="BJ205" s="51"/>
      <c r="BK205" s="51"/>
      <c r="BL205" s="51"/>
      <c r="BM205" s="51"/>
      <c r="BN205" s="51"/>
      <c r="BO205" s="51"/>
      <c r="BP205" s="51"/>
      <c r="BQ205" s="51"/>
      <c r="BR205" s="51"/>
      <c r="BS205" s="51"/>
      <c r="BT205" s="51"/>
      <c r="BU205" s="51"/>
      <c r="BV205" s="51"/>
      <c r="BW205" s="51"/>
      <c r="BX205" s="51"/>
      <c r="BY205" s="51"/>
      <c r="BZ205" s="51"/>
      <c r="CA205" s="51"/>
      <c r="CB205" s="51"/>
      <c r="CC205" s="51"/>
      <c r="CD205" s="51"/>
      <c r="CE205" s="51"/>
      <c r="CF205" s="51"/>
      <c r="CG205" s="51"/>
    </row>
    <row r="206" ht="30.0"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c r="BA206" s="51"/>
      <c r="BB206" s="51"/>
      <c r="BC206" s="51"/>
      <c r="BD206" s="51"/>
      <c r="BE206" s="51"/>
      <c r="BF206" s="51"/>
      <c r="BG206" s="51"/>
      <c r="BH206" s="51"/>
      <c r="BI206" s="51"/>
      <c r="BJ206" s="51"/>
      <c r="BK206" s="51"/>
      <c r="BL206" s="51"/>
      <c r="BM206" s="51"/>
      <c r="BN206" s="51"/>
      <c r="BO206" s="51"/>
      <c r="BP206" s="51"/>
      <c r="BQ206" s="51"/>
      <c r="BR206" s="51"/>
      <c r="BS206" s="51"/>
      <c r="BT206" s="51"/>
      <c r="BU206" s="51"/>
      <c r="BV206" s="51"/>
      <c r="BW206" s="51"/>
      <c r="BX206" s="51"/>
      <c r="BY206" s="51"/>
      <c r="BZ206" s="51"/>
      <c r="CA206" s="51"/>
      <c r="CB206" s="51"/>
      <c r="CC206" s="51"/>
      <c r="CD206" s="51"/>
      <c r="CE206" s="51"/>
      <c r="CF206" s="51"/>
      <c r="CG206" s="51"/>
    </row>
    <row r="207" ht="30.0"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c r="BA207" s="51"/>
      <c r="BB207" s="51"/>
      <c r="BC207" s="51"/>
      <c r="BD207" s="51"/>
      <c r="BE207" s="51"/>
      <c r="BF207" s="51"/>
      <c r="BG207" s="51"/>
      <c r="BH207" s="51"/>
      <c r="BI207" s="51"/>
      <c r="BJ207" s="51"/>
      <c r="BK207" s="51"/>
      <c r="BL207" s="51"/>
      <c r="BM207" s="51"/>
      <c r="BN207" s="51"/>
      <c r="BO207" s="51"/>
      <c r="BP207" s="51"/>
      <c r="BQ207" s="51"/>
      <c r="BR207" s="51"/>
      <c r="BS207" s="51"/>
      <c r="BT207" s="51"/>
      <c r="BU207" s="51"/>
      <c r="BV207" s="51"/>
      <c r="BW207" s="51"/>
      <c r="BX207" s="51"/>
      <c r="BY207" s="51"/>
      <c r="BZ207" s="51"/>
      <c r="CA207" s="51"/>
      <c r="CB207" s="51"/>
      <c r="CC207" s="51"/>
      <c r="CD207" s="51"/>
      <c r="CE207" s="51"/>
      <c r="CF207" s="51"/>
      <c r="CG207" s="51"/>
    </row>
    <row r="208" ht="30.0"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c r="BA208" s="51"/>
      <c r="BB208" s="51"/>
      <c r="BC208" s="51"/>
      <c r="BD208" s="51"/>
      <c r="BE208" s="51"/>
      <c r="BF208" s="51"/>
      <c r="BG208" s="51"/>
      <c r="BH208" s="51"/>
      <c r="BI208" s="51"/>
      <c r="BJ208" s="51"/>
      <c r="BK208" s="51"/>
      <c r="BL208" s="51"/>
      <c r="BM208" s="51"/>
      <c r="BN208" s="51"/>
      <c r="BO208" s="51"/>
      <c r="BP208" s="51"/>
      <c r="BQ208" s="51"/>
      <c r="BR208" s="51"/>
      <c r="BS208" s="51"/>
      <c r="BT208" s="51"/>
      <c r="BU208" s="51"/>
      <c r="BV208" s="51"/>
      <c r="BW208" s="51"/>
      <c r="BX208" s="51"/>
      <c r="BY208" s="51"/>
      <c r="BZ208" s="51"/>
      <c r="CA208" s="51"/>
      <c r="CB208" s="51"/>
      <c r="CC208" s="51"/>
      <c r="CD208" s="51"/>
      <c r="CE208" s="51"/>
      <c r="CF208" s="51"/>
      <c r="CG208" s="51"/>
    </row>
    <row r="209" ht="30.0"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c r="BA209" s="51"/>
      <c r="BB209" s="51"/>
      <c r="BC209" s="51"/>
      <c r="BD209" s="51"/>
      <c r="BE209" s="51"/>
      <c r="BF209" s="51"/>
      <c r="BG209" s="51"/>
      <c r="BH209" s="51"/>
      <c r="BI209" s="51"/>
      <c r="BJ209" s="51"/>
      <c r="BK209" s="51"/>
      <c r="BL209" s="51"/>
      <c r="BM209" s="51"/>
      <c r="BN209" s="51"/>
      <c r="BO209" s="51"/>
      <c r="BP209" s="51"/>
      <c r="BQ209" s="51"/>
      <c r="BR209" s="51"/>
      <c r="BS209" s="51"/>
      <c r="BT209" s="51"/>
      <c r="BU209" s="51"/>
      <c r="BV209" s="51"/>
      <c r="BW209" s="51"/>
      <c r="BX209" s="51"/>
      <c r="BY209" s="51"/>
      <c r="BZ209" s="51"/>
      <c r="CA209" s="51"/>
      <c r="CB209" s="51"/>
      <c r="CC209" s="51"/>
      <c r="CD209" s="51"/>
      <c r="CE209" s="51"/>
      <c r="CF209" s="51"/>
      <c r="CG209" s="51"/>
    </row>
    <row r="210" ht="30.0"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c r="BA210" s="51"/>
      <c r="BB210" s="51"/>
      <c r="BC210" s="51"/>
      <c r="BD210" s="51"/>
      <c r="BE210" s="51"/>
      <c r="BF210" s="51"/>
      <c r="BG210" s="51"/>
      <c r="BH210" s="51"/>
      <c r="BI210" s="51"/>
      <c r="BJ210" s="51"/>
      <c r="BK210" s="51"/>
      <c r="BL210" s="51"/>
      <c r="BM210" s="51"/>
      <c r="BN210" s="51"/>
      <c r="BO210" s="51"/>
      <c r="BP210" s="51"/>
      <c r="BQ210" s="51"/>
      <c r="BR210" s="51"/>
      <c r="BS210" s="51"/>
      <c r="BT210" s="51"/>
      <c r="BU210" s="51"/>
      <c r="BV210" s="51"/>
      <c r="BW210" s="51"/>
      <c r="BX210" s="51"/>
      <c r="BY210" s="51"/>
      <c r="BZ210" s="51"/>
      <c r="CA210" s="51"/>
      <c r="CB210" s="51"/>
      <c r="CC210" s="51"/>
      <c r="CD210" s="51"/>
      <c r="CE210" s="51"/>
      <c r="CF210" s="51"/>
      <c r="CG210" s="51"/>
    </row>
    <row r="211" ht="30.0"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c r="BA211" s="51"/>
      <c r="BB211" s="51"/>
      <c r="BC211" s="51"/>
      <c r="BD211" s="51"/>
      <c r="BE211" s="51"/>
      <c r="BF211" s="51"/>
      <c r="BG211" s="51"/>
      <c r="BH211" s="51"/>
      <c r="BI211" s="51"/>
      <c r="BJ211" s="51"/>
      <c r="BK211" s="51"/>
      <c r="BL211" s="51"/>
      <c r="BM211" s="51"/>
      <c r="BN211" s="51"/>
      <c r="BO211" s="51"/>
      <c r="BP211" s="51"/>
      <c r="BQ211" s="51"/>
      <c r="BR211" s="51"/>
      <c r="BS211" s="51"/>
      <c r="BT211" s="51"/>
      <c r="BU211" s="51"/>
      <c r="BV211" s="51"/>
      <c r="BW211" s="51"/>
      <c r="BX211" s="51"/>
      <c r="BY211" s="51"/>
      <c r="BZ211" s="51"/>
      <c r="CA211" s="51"/>
      <c r="CB211" s="51"/>
      <c r="CC211" s="51"/>
      <c r="CD211" s="51"/>
      <c r="CE211" s="51"/>
      <c r="CF211" s="51"/>
      <c r="CG211" s="51"/>
    </row>
    <row r="212" ht="30.0"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c r="BA212" s="51"/>
      <c r="BB212" s="51"/>
      <c r="BC212" s="51"/>
      <c r="BD212" s="51"/>
      <c r="BE212" s="51"/>
      <c r="BF212" s="51"/>
      <c r="BG212" s="51"/>
      <c r="BH212" s="51"/>
      <c r="BI212" s="51"/>
      <c r="BJ212" s="51"/>
      <c r="BK212" s="51"/>
      <c r="BL212" s="51"/>
      <c r="BM212" s="51"/>
      <c r="BN212" s="51"/>
      <c r="BO212" s="51"/>
      <c r="BP212" s="51"/>
      <c r="BQ212" s="51"/>
      <c r="BR212" s="51"/>
      <c r="BS212" s="51"/>
      <c r="BT212" s="51"/>
      <c r="BU212" s="51"/>
      <c r="BV212" s="51"/>
      <c r="BW212" s="51"/>
      <c r="BX212" s="51"/>
      <c r="BY212" s="51"/>
      <c r="BZ212" s="51"/>
      <c r="CA212" s="51"/>
      <c r="CB212" s="51"/>
      <c r="CC212" s="51"/>
      <c r="CD212" s="51"/>
      <c r="CE212" s="51"/>
      <c r="CF212" s="51"/>
      <c r="CG212" s="51"/>
    </row>
    <row r="213" ht="30.0"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c r="BA213" s="51"/>
      <c r="BB213" s="51"/>
      <c r="BC213" s="51"/>
      <c r="BD213" s="51"/>
      <c r="BE213" s="51"/>
      <c r="BF213" s="51"/>
      <c r="BG213" s="51"/>
      <c r="BH213" s="51"/>
      <c r="BI213" s="51"/>
      <c r="BJ213" s="51"/>
      <c r="BK213" s="51"/>
      <c r="BL213" s="51"/>
      <c r="BM213" s="51"/>
      <c r="BN213" s="51"/>
      <c r="BO213" s="51"/>
      <c r="BP213" s="51"/>
      <c r="BQ213" s="51"/>
      <c r="BR213" s="51"/>
      <c r="BS213" s="51"/>
      <c r="BT213" s="51"/>
      <c r="BU213" s="51"/>
      <c r="BV213" s="51"/>
      <c r="BW213" s="51"/>
      <c r="BX213" s="51"/>
      <c r="BY213" s="51"/>
      <c r="BZ213" s="51"/>
      <c r="CA213" s="51"/>
      <c r="CB213" s="51"/>
      <c r="CC213" s="51"/>
      <c r="CD213" s="51"/>
      <c r="CE213" s="51"/>
      <c r="CF213" s="51"/>
      <c r="CG213" s="51"/>
    </row>
    <row r="214" ht="30.0"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c r="BA214" s="51"/>
      <c r="BB214" s="51"/>
      <c r="BC214" s="51"/>
      <c r="BD214" s="51"/>
      <c r="BE214" s="51"/>
      <c r="BF214" s="51"/>
      <c r="BG214" s="51"/>
      <c r="BH214" s="51"/>
      <c r="BI214" s="51"/>
      <c r="BJ214" s="51"/>
      <c r="BK214" s="51"/>
      <c r="BL214" s="51"/>
      <c r="BM214" s="51"/>
      <c r="BN214" s="51"/>
      <c r="BO214" s="51"/>
      <c r="BP214" s="51"/>
      <c r="BQ214" s="51"/>
      <c r="BR214" s="51"/>
      <c r="BS214" s="51"/>
      <c r="BT214" s="51"/>
      <c r="BU214" s="51"/>
      <c r="BV214" s="51"/>
      <c r="BW214" s="51"/>
      <c r="BX214" s="51"/>
      <c r="BY214" s="51"/>
      <c r="BZ214" s="51"/>
      <c r="CA214" s="51"/>
      <c r="CB214" s="51"/>
      <c r="CC214" s="51"/>
      <c r="CD214" s="51"/>
      <c r="CE214" s="51"/>
      <c r="CF214" s="51"/>
      <c r="CG214" s="51"/>
    </row>
    <row r="215" ht="30.0"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c r="BA215" s="51"/>
      <c r="BB215" s="51"/>
      <c r="BC215" s="51"/>
      <c r="BD215" s="51"/>
      <c r="BE215" s="51"/>
      <c r="BF215" s="51"/>
      <c r="BG215" s="51"/>
      <c r="BH215" s="51"/>
      <c r="BI215" s="51"/>
      <c r="BJ215" s="51"/>
      <c r="BK215" s="51"/>
      <c r="BL215" s="51"/>
      <c r="BM215" s="51"/>
      <c r="BN215" s="51"/>
      <c r="BO215" s="51"/>
      <c r="BP215" s="51"/>
      <c r="BQ215" s="51"/>
      <c r="BR215" s="51"/>
      <c r="BS215" s="51"/>
      <c r="BT215" s="51"/>
      <c r="BU215" s="51"/>
      <c r="BV215" s="51"/>
      <c r="BW215" s="51"/>
      <c r="BX215" s="51"/>
      <c r="BY215" s="51"/>
      <c r="BZ215" s="51"/>
      <c r="CA215" s="51"/>
      <c r="CB215" s="51"/>
      <c r="CC215" s="51"/>
      <c r="CD215" s="51"/>
      <c r="CE215" s="51"/>
      <c r="CF215" s="51"/>
      <c r="CG215" s="51"/>
    </row>
    <row r="216" ht="30.0"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c r="BA216" s="51"/>
      <c r="BB216" s="51"/>
      <c r="BC216" s="51"/>
      <c r="BD216" s="51"/>
      <c r="BE216" s="51"/>
      <c r="BF216" s="51"/>
      <c r="BG216" s="51"/>
      <c r="BH216" s="51"/>
      <c r="BI216" s="51"/>
      <c r="BJ216" s="51"/>
      <c r="BK216" s="51"/>
      <c r="BL216" s="51"/>
      <c r="BM216" s="51"/>
      <c r="BN216" s="51"/>
      <c r="BO216" s="51"/>
      <c r="BP216" s="51"/>
      <c r="BQ216" s="51"/>
      <c r="BR216" s="51"/>
      <c r="BS216" s="51"/>
      <c r="BT216" s="51"/>
      <c r="BU216" s="51"/>
      <c r="BV216" s="51"/>
      <c r="BW216" s="51"/>
      <c r="BX216" s="51"/>
      <c r="BY216" s="51"/>
      <c r="BZ216" s="51"/>
      <c r="CA216" s="51"/>
      <c r="CB216" s="51"/>
      <c r="CC216" s="51"/>
      <c r="CD216" s="51"/>
      <c r="CE216" s="51"/>
      <c r="CF216" s="51"/>
      <c r="CG216" s="51"/>
    </row>
    <row r="217" ht="30.0"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c r="BA217" s="51"/>
      <c r="BB217" s="51"/>
      <c r="BC217" s="51"/>
      <c r="BD217" s="51"/>
      <c r="BE217" s="51"/>
      <c r="BF217" s="51"/>
      <c r="BG217" s="51"/>
      <c r="BH217" s="51"/>
      <c r="BI217" s="51"/>
      <c r="BJ217" s="51"/>
      <c r="BK217" s="51"/>
      <c r="BL217" s="51"/>
      <c r="BM217" s="51"/>
      <c r="BN217" s="51"/>
      <c r="BO217" s="51"/>
      <c r="BP217" s="51"/>
      <c r="BQ217" s="51"/>
      <c r="BR217" s="51"/>
      <c r="BS217" s="51"/>
      <c r="BT217" s="51"/>
      <c r="BU217" s="51"/>
      <c r="BV217" s="51"/>
      <c r="BW217" s="51"/>
      <c r="BX217" s="51"/>
      <c r="BY217" s="51"/>
      <c r="BZ217" s="51"/>
      <c r="CA217" s="51"/>
      <c r="CB217" s="51"/>
      <c r="CC217" s="51"/>
      <c r="CD217" s="51"/>
      <c r="CE217" s="51"/>
      <c r="CF217" s="51"/>
      <c r="CG217" s="51"/>
    </row>
    <row r="218" ht="30.0"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c r="BA218" s="51"/>
      <c r="BB218" s="51"/>
      <c r="BC218" s="51"/>
      <c r="BD218" s="51"/>
      <c r="BE218" s="51"/>
      <c r="BF218" s="51"/>
      <c r="BG218" s="51"/>
      <c r="BH218" s="51"/>
      <c r="BI218" s="51"/>
      <c r="BJ218" s="51"/>
      <c r="BK218" s="51"/>
      <c r="BL218" s="51"/>
      <c r="BM218" s="51"/>
      <c r="BN218" s="51"/>
      <c r="BO218" s="51"/>
      <c r="BP218" s="51"/>
      <c r="BQ218" s="51"/>
      <c r="BR218" s="51"/>
      <c r="BS218" s="51"/>
      <c r="BT218" s="51"/>
      <c r="BU218" s="51"/>
      <c r="BV218" s="51"/>
      <c r="BW218" s="51"/>
      <c r="BX218" s="51"/>
      <c r="BY218" s="51"/>
      <c r="BZ218" s="51"/>
      <c r="CA218" s="51"/>
      <c r="CB218" s="51"/>
      <c r="CC218" s="51"/>
      <c r="CD218" s="51"/>
      <c r="CE218" s="51"/>
      <c r="CF218" s="51"/>
      <c r="CG218" s="51"/>
    </row>
    <row r="219" ht="30.0"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c r="BA219" s="51"/>
      <c r="BB219" s="51"/>
      <c r="BC219" s="51"/>
      <c r="BD219" s="51"/>
      <c r="BE219" s="51"/>
      <c r="BF219" s="51"/>
      <c r="BG219" s="51"/>
      <c r="BH219" s="51"/>
      <c r="BI219" s="51"/>
      <c r="BJ219" s="51"/>
      <c r="BK219" s="51"/>
      <c r="BL219" s="51"/>
      <c r="BM219" s="51"/>
      <c r="BN219" s="51"/>
      <c r="BO219" s="51"/>
      <c r="BP219" s="51"/>
      <c r="BQ219" s="51"/>
      <c r="BR219" s="51"/>
      <c r="BS219" s="51"/>
      <c r="BT219" s="51"/>
      <c r="BU219" s="51"/>
      <c r="BV219" s="51"/>
      <c r="BW219" s="51"/>
      <c r="BX219" s="51"/>
      <c r="BY219" s="51"/>
      <c r="BZ219" s="51"/>
      <c r="CA219" s="51"/>
      <c r="CB219" s="51"/>
      <c r="CC219" s="51"/>
      <c r="CD219" s="51"/>
      <c r="CE219" s="51"/>
      <c r="CF219" s="51"/>
      <c r="CG219" s="51"/>
    </row>
    <row r="220" ht="30.0"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c r="BA220" s="51"/>
      <c r="BB220" s="51"/>
      <c r="BC220" s="51"/>
      <c r="BD220" s="51"/>
      <c r="BE220" s="51"/>
      <c r="BF220" s="51"/>
      <c r="BG220" s="51"/>
      <c r="BH220" s="51"/>
      <c r="BI220" s="51"/>
      <c r="BJ220" s="51"/>
      <c r="BK220" s="51"/>
      <c r="BL220" s="51"/>
      <c r="BM220" s="51"/>
      <c r="BN220" s="51"/>
      <c r="BO220" s="51"/>
      <c r="BP220" s="51"/>
      <c r="BQ220" s="51"/>
      <c r="BR220" s="51"/>
      <c r="BS220" s="51"/>
      <c r="BT220" s="51"/>
      <c r="BU220" s="51"/>
      <c r="BV220" s="51"/>
      <c r="BW220" s="51"/>
      <c r="BX220" s="51"/>
      <c r="BY220" s="51"/>
      <c r="BZ220" s="51"/>
      <c r="CA220" s="51"/>
      <c r="CB220" s="51"/>
      <c r="CC220" s="51"/>
      <c r="CD220" s="51"/>
      <c r="CE220" s="51"/>
      <c r="CF220" s="51"/>
      <c r="CG220" s="51"/>
    </row>
    <row r="221" ht="30.0"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c r="BA221" s="51"/>
      <c r="BB221" s="51"/>
      <c r="BC221" s="51"/>
      <c r="BD221" s="51"/>
      <c r="BE221" s="51"/>
      <c r="BF221" s="51"/>
      <c r="BG221" s="51"/>
      <c r="BH221" s="51"/>
      <c r="BI221" s="51"/>
      <c r="BJ221" s="51"/>
      <c r="BK221" s="51"/>
      <c r="BL221" s="51"/>
      <c r="BM221" s="51"/>
      <c r="BN221" s="51"/>
      <c r="BO221" s="51"/>
      <c r="BP221" s="51"/>
      <c r="BQ221" s="51"/>
      <c r="BR221" s="51"/>
      <c r="BS221" s="51"/>
      <c r="BT221" s="51"/>
      <c r="BU221" s="51"/>
      <c r="BV221" s="51"/>
      <c r="BW221" s="51"/>
      <c r="BX221" s="51"/>
      <c r="BY221" s="51"/>
      <c r="BZ221" s="51"/>
      <c r="CA221" s="51"/>
      <c r="CB221" s="51"/>
      <c r="CC221" s="51"/>
      <c r="CD221" s="51"/>
      <c r="CE221" s="51"/>
      <c r="CF221" s="51"/>
      <c r="CG221" s="51"/>
    </row>
    <row r="222" ht="30.0"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c r="BA222" s="51"/>
      <c r="BB222" s="51"/>
      <c r="BC222" s="51"/>
      <c r="BD222" s="51"/>
      <c r="BE222" s="51"/>
      <c r="BF222" s="51"/>
      <c r="BG222" s="51"/>
      <c r="BH222" s="51"/>
      <c r="BI222" s="51"/>
      <c r="BJ222" s="51"/>
      <c r="BK222" s="51"/>
      <c r="BL222" s="51"/>
      <c r="BM222" s="51"/>
      <c r="BN222" s="51"/>
      <c r="BO222" s="51"/>
      <c r="BP222" s="51"/>
      <c r="BQ222" s="51"/>
      <c r="BR222" s="51"/>
      <c r="BS222" s="51"/>
      <c r="BT222" s="51"/>
      <c r="BU222" s="51"/>
      <c r="BV222" s="51"/>
      <c r="BW222" s="51"/>
      <c r="BX222" s="51"/>
      <c r="BY222" s="51"/>
      <c r="BZ222" s="51"/>
      <c r="CA222" s="51"/>
      <c r="CB222" s="51"/>
      <c r="CC222" s="51"/>
      <c r="CD222" s="51"/>
      <c r="CE222" s="51"/>
      <c r="CF222" s="51"/>
      <c r="CG222" s="51"/>
    </row>
    <row r="223" ht="30.0"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c r="BA223" s="51"/>
      <c r="BB223" s="51"/>
      <c r="BC223" s="51"/>
      <c r="BD223" s="51"/>
      <c r="BE223" s="51"/>
      <c r="BF223" s="51"/>
      <c r="BG223" s="51"/>
      <c r="BH223" s="51"/>
      <c r="BI223" s="51"/>
      <c r="BJ223" s="51"/>
      <c r="BK223" s="51"/>
      <c r="BL223" s="51"/>
      <c r="BM223" s="51"/>
      <c r="BN223" s="51"/>
      <c r="BO223" s="51"/>
      <c r="BP223" s="51"/>
      <c r="BQ223" s="51"/>
      <c r="BR223" s="51"/>
      <c r="BS223" s="51"/>
      <c r="BT223" s="51"/>
      <c r="BU223" s="51"/>
      <c r="BV223" s="51"/>
      <c r="BW223" s="51"/>
      <c r="BX223" s="51"/>
      <c r="BY223" s="51"/>
      <c r="BZ223" s="51"/>
      <c r="CA223" s="51"/>
      <c r="CB223" s="51"/>
      <c r="CC223" s="51"/>
      <c r="CD223" s="51"/>
      <c r="CE223" s="51"/>
      <c r="CF223" s="51"/>
      <c r="CG223" s="51"/>
    </row>
    <row r="224" ht="30.0"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c r="BA224" s="51"/>
      <c r="BB224" s="51"/>
      <c r="BC224" s="51"/>
      <c r="BD224" s="51"/>
      <c r="BE224" s="51"/>
      <c r="BF224" s="51"/>
      <c r="BG224" s="51"/>
      <c r="BH224" s="51"/>
      <c r="BI224" s="51"/>
      <c r="BJ224" s="51"/>
      <c r="BK224" s="51"/>
      <c r="BL224" s="51"/>
      <c r="BM224" s="51"/>
      <c r="BN224" s="51"/>
      <c r="BO224" s="51"/>
      <c r="BP224" s="51"/>
      <c r="BQ224" s="51"/>
      <c r="BR224" s="51"/>
      <c r="BS224" s="51"/>
      <c r="BT224" s="51"/>
      <c r="BU224" s="51"/>
      <c r="BV224" s="51"/>
      <c r="BW224" s="51"/>
      <c r="BX224" s="51"/>
      <c r="BY224" s="51"/>
      <c r="BZ224" s="51"/>
      <c r="CA224" s="51"/>
      <c r="CB224" s="51"/>
      <c r="CC224" s="51"/>
      <c r="CD224" s="51"/>
      <c r="CE224" s="51"/>
      <c r="CF224" s="51"/>
      <c r="CG224" s="51"/>
    </row>
    <row r="225" ht="30.0"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c r="BA225" s="51"/>
      <c r="BB225" s="51"/>
      <c r="BC225" s="51"/>
      <c r="BD225" s="51"/>
      <c r="BE225" s="51"/>
      <c r="BF225" s="51"/>
      <c r="BG225" s="51"/>
      <c r="BH225" s="51"/>
      <c r="BI225" s="51"/>
      <c r="BJ225" s="51"/>
      <c r="BK225" s="51"/>
      <c r="BL225" s="51"/>
      <c r="BM225" s="51"/>
      <c r="BN225" s="51"/>
      <c r="BO225" s="51"/>
      <c r="BP225" s="51"/>
      <c r="BQ225" s="51"/>
      <c r="BR225" s="51"/>
      <c r="BS225" s="51"/>
      <c r="BT225" s="51"/>
      <c r="BU225" s="51"/>
      <c r="BV225" s="51"/>
      <c r="BW225" s="51"/>
      <c r="BX225" s="51"/>
      <c r="BY225" s="51"/>
      <c r="BZ225" s="51"/>
      <c r="CA225" s="51"/>
      <c r="CB225" s="51"/>
      <c r="CC225" s="51"/>
      <c r="CD225" s="51"/>
      <c r="CE225" s="51"/>
      <c r="CF225" s="51"/>
      <c r="CG225" s="51"/>
    </row>
    <row r="226" ht="30.0"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c r="BA226" s="51"/>
      <c r="BB226" s="51"/>
      <c r="BC226" s="51"/>
      <c r="BD226" s="51"/>
      <c r="BE226" s="51"/>
      <c r="BF226" s="51"/>
      <c r="BG226" s="51"/>
      <c r="BH226" s="51"/>
      <c r="BI226" s="51"/>
      <c r="BJ226" s="51"/>
      <c r="BK226" s="51"/>
      <c r="BL226" s="51"/>
      <c r="BM226" s="51"/>
      <c r="BN226" s="51"/>
      <c r="BO226" s="51"/>
      <c r="BP226" s="51"/>
      <c r="BQ226" s="51"/>
      <c r="BR226" s="51"/>
      <c r="BS226" s="51"/>
      <c r="BT226" s="51"/>
      <c r="BU226" s="51"/>
      <c r="BV226" s="51"/>
      <c r="BW226" s="51"/>
      <c r="BX226" s="51"/>
      <c r="BY226" s="51"/>
      <c r="BZ226" s="51"/>
      <c r="CA226" s="51"/>
      <c r="CB226" s="51"/>
      <c r="CC226" s="51"/>
      <c r="CD226" s="51"/>
      <c r="CE226" s="51"/>
      <c r="CF226" s="51"/>
      <c r="CG226" s="51"/>
    </row>
    <row r="227" ht="30.0"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c r="BA227" s="51"/>
      <c r="BB227" s="51"/>
      <c r="BC227" s="51"/>
      <c r="BD227" s="51"/>
      <c r="BE227" s="51"/>
      <c r="BF227" s="51"/>
      <c r="BG227" s="51"/>
      <c r="BH227" s="51"/>
      <c r="BI227" s="51"/>
      <c r="BJ227" s="51"/>
      <c r="BK227" s="51"/>
      <c r="BL227" s="51"/>
      <c r="BM227" s="51"/>
      <c r="BN227" s="51"/>
      <c r="BO227" s="51"/>
      <c r="BP227" s="51"/>
      <c r="BQ227" s="51"/>
      <c r="BR227" s="51"/>
      <c r="BS227" s="51"/>
      <c r="BT227" s="51"/>
      <c r="BU227" s="51"/>
      <c r="BV227" s="51"/>
      <c r="BW227" s="51"/>
      <c r="BX227" s="51"/>
      <c r="BY227" s="51"/>
      <c r="BZ227" s="51"/>
      <c r="CA227" s="51"/>
      <c r="CB227" s="51"/>
      <c r="CC227" s="51"/>
      <c r="CD227" s="51"/>
      <c r="CE227" s="51"/>
      <c r="CF227" s="51"/>
      <c r="CG227" s="51"/>
    </row>
    <row r="228" ht="30.0"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c r="BA228" s="51"/>
      <c r="BB228" s="51"/>
      <c r="BC228" s="51"/>
      <c r="BD228" s="51"/>
      <c r="BE228" s="51"/>
      <c r="BF228" s="51"/>
      <c r="BG228" s="51"/>
      <c r="BH228" s="51"/>
      <c r="BI228" s="51"/>
      <c r="BJ228" s="51"/>
      <c r="BK228" s="51"/>
      <c r="BL228" s="51"/>
      <c r="BM228" s="51"/>
      <c r="BN228" s="51"/>
      <c r="BO228" s="51"/>
      <c r="BP228" s="51"/>
      <c r="BQ228" s="51"/>
      <c r="BR228" s="51"/>
      <c r="BS228" s="51"/>
      <c r="BT228" s="51"/>
      <c r="BU228" s="51"/>
      <c r="BV228" s="51"/>
      <c r="BW228" s="51"/>
      <c r="BX228" s="51"/>
      <c r="BY228" s="51"/>
      <c r="BZ228" s="51"/>
      <c r="CA228" s="51"/>
      <c r="CB228" s="51"/>
      <c r="CC228" s="51"/>
      <c r="CD228" s="51"/>
      <c r="CE228" s="51"/>
      <c r="CF228" s="51"/>
      <c r="CG228" s="51"/>
    </row>
    <row r="229" ht="30.0"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c r="BA229" s="51"/>
      <c r="BB229" s="51"/>
      <c r="BC229" s="51"/>
      <c r="BD229" s="51"/>
      <c r="BE229" s="51"/>
      <c r="BF229" s="51"/>
      <c r="BG229" s="51"/>
      <c r="BH229" s="51"/>
      <c r="BI229" s="51"/>
      <c r="BJ229" s="51"/>
      <c r="BK229" s="51"/>
      <c r="BL229" s="51"/>
      <c r="BM229" s="51"/>
      <c r="BN229" s="51"/>
      <c r="BO229" s="51"/>
      <c r="BP229" s="51"/>
      <c r="BQ229" s="51"/>
      <c r="BR229" s="51"/>
      <c r="BS229" s="51"/>
      <c r="BT229" s="51"/>
      <c r="BU229" s="51"/>
      <c r="BV229" s="51"/>
      <c r="BW229" s="51"/>
      <c r="BX229" s="51"/>
      <c r="BY229" s="51"/>
      <c r="BZ229" s="51"/>
      <c r="CA229" s="51"/>
      <c r="CB229" s="51"/>
      <c r="CC229" s="51"/>
      <c r="CD229" s="51"/>
      <c r="CE229" s="51"/>
      <c r="CF229" s="51"/>
      <c r="CG229" s="51"/>
    </row>
    <row r="230" ht="30.0"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c r="BA230" s="51"/>
      <c r="BB230" s="51"/>
      <c r="BC230" s="51"/>
      <c r="BD230" s="51"/>
      <c r="BE230" s="51"/>
      <c r="BF230" s="51"/>
      <c r="BG230" s="51"/>
      <c r="BH230" s="51"/>
      <c r="BI230" s="51"/>
      <c r="BJ230" s="51"/>
      <c r="BK230" s="51"/>
      <c r="BL230" s="51"/>
      <c r="BM230" s="51"/>
      <c r="BN230" s="51"/>
      <c r="BO230" s="51"/>
      <c r="BP230" s="51"/>
      <c r="BQ230" s="51"/>
      <c r="BR230" s="51"/>
      <c r="BS230" s="51"/>
      <c r="BT230" s="51"/>
      <c r="BU230" s="51"/>
      <c r="BV230" s="51"/>
      <c r="BW230" s="51"/>
      <c r="BX230" s="51"/>
      <c r="BY230" s="51"/>
      <c r="BZ230" s="51"/>
      <c r="CA230" s="51"/>
      <c r="CB230" s="51"/>
      <c r="CC230" s="51"/>
      <c r="CD230" s="51"/>
      <c r="CE230" s="51"/>
      <c r="CF230" s="51"/>
      <c r="CG230" s="51"/>
    </row>
    <row r="231" ht="30.0"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c r="BA231" s="51"/>
      <c r="BB231" s="51"/>
      <c r="BC231" s="51"/>
      <c r="BD231" s="51"/>
      <c r="BE231" s="51"/>
      <c r="BF231" s="51"/>
      <c r="BG231" s="51"/>
      <c r="BH231" s="51"/>
      <c r="BI231" s="51"/>
      <c r="BJ231" s="51"/>
      <c r="BK231" s="51"/>
      <c r="BL231" s="51"/>
      <c r="BM231" s="51"/>
      <c r="BN231" s="51"/>
      <c r="BO231" s="51"/>
      <c r="BP231" s="51"/>
      <c r="BQ231" s="51"/>
      <c r="BR231" s="51"/>
      <c r="BS231" s="51"/>
      <c r="BT231" s="51"/>
      <c r="BU231" s="51"/>
      <c r="BV231" s="51"/>
      <c r="BW231" s="51"/>
      <c r="BX231" s="51"/>
      <c r="BY231" s="51"/>
      <c r="BZ231" s="51"/>
      <c r="CA231" s="51"/>
      <c r="CB231" s="51"/>
      <c r="CC231" s="51"/>
      <c r="CD231" s="51"/>
      <c r="CE231" s="51"/>
      <c r="CF231" s="51"/>
      <c r="CG231" s="51"/>
    </row>
    <row r="232" ht="30.0"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c r="BA232" s="51"/>
      <c r="BB232" s="51"/>
      <c r="BC232" s="51"/>
      <c r="BD232" s="51"/>
      <c r="BE232" s="51"/>
      <c r="BF232" s="51"/>
      <c r="BG232" s="51"/>
      <c r="BH232" s="51"/>
      <c r="BI232" s="51"/>
      <c r="BJ232" s="51"/>
      <c r="BK232" s="51"/>
      <c r="BL232" s="51"/>
      <c r="BM232" s="51"/>
      <c r="BN232" s="51"/>
      <c r="BO232" s="51"/>
      <c r="BP232" s="51"/>
      <c r="BQ232" s="51"/>
      <c r="BR232" s="51"/>
      <c r="BS232" s="51"/>
      <c r="BT232" s="51"/>
      <c r="BU232" s="51"/>
      <c r="BV232" s="51"/>
      <c r="BW232" s="51"/>
      <c r="BX232" s="51"/>
      <c r="BY232" s="51"/>
      <c r="BZ232" s="51"/>
      <c r="CA232" s="51"/>
      <c r="CB232" s="51"/>
      <c r="CC232" s="51"/>
      <c r="CD232" s="51"/>
      <c r="CE232" s="51"/>
      <c r="CF232" s="51"/>
      <c r="CG232" s="51"/>
    </row>
    <row r="233" ht="30.0"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c r="BA233" s="51"/>
      <c r="BB233" s="51"/>
      <c r="BC233" s="51"/>
      <c r="BD233" s="51"/>
      <c r="BE233" s="51"/>
      <c r="BF233" s="51"/>
      <c r="BG233" s="51"/>
      <c r="BH233" s="51"/>
      <c r="BI233" s="51"/>
      <c r="BJ233" s="51"/>
      <c r="BK233" s="51"/>
      <c r="BL233" s="51"/>
      <c r="BM233" s="51"/>
      <c r="BN233" s="51"/>
      <c r="BO233" s="51"/>
      <c r="BP233" s="51"/>
      <c r="BQ233" s="51"/>
      <c r="BR233" s="51"/>
      <c r="BS233" s="51"/>
      <c r="BT233" s="51"/>
      <c r="BU233" s="51"/>
      <c r="BV233" s="51"/>
      <c r="BW233" s="51"/>
      <c r="BX233" s="51"/>
      <c r="BY233" s="51"/>
      <c r="BZ233" s="51"/>
      <c r="CA233" s="51"/>
      <c r="CB233" s="51"/>
      <c r="CC233" s="51"/>
      <c r="CD233" s="51"/>
      <c r="CE233" s="51"/>
      <c r="CF233" s="51"/>
      <c r="CG233" s="51"/>
    </row>
    <row r="234" ht="30.0"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c r="BA234" s="51"/>
      <c r="BB234" s="51"/>
      <c r="BC234" s="51"/>
      <c r="BD234" s="51"/>
      <c r="BE234" s="51"/>
      <c r="BF234" s="51"/>
      <c r="BG234" s="51"/>
      <c r="BH234" s="51"/>
      <c r="BI234" s="51"/>
      <c r="BJ234" s="51"/>
      <c r="BK234" s="51"/>
      <c r="BL234" s="51"/>
      <c r="BM234" s="51"/>
      <c r="BN234" s="51"/>
      <c r="BO234" s="51"/>
      <c r="BP234" s="51"/>
      <c r="BQ234" s="51"/>
      <c r="BR234" s="51"/>
      <c r="BS234" s="51"/>
      <c r="BT234" s="51"/>
      <c r="BU234" s="51"/>
      <c r="BV234" s="51"/>
      <c r="BW234" s="51"/>
      <c r="BX234" s="51"/>
      <c r="BY234" s="51"/>
      <c r="BZ234" s="51"/>
      <c r="CA234" s="51"/>
      <c r="CB234" s="51"/>
      <c r="CC234" s="51"/>
      <c r="CD234" s="51"/>
      <c r="CE234" s="51"/>
      <c r="CF234" s="51"/>
      <c r="CG234" s="51"/>
    </row>
    <row r="235" ht="30.0"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c r="BA235" s="51"/>
      <c r="BB235" s="51"/>
      <c r="BC235" s="51"/>
      <c r="BD235" s="51"/>
      <c r="BE235" s="51"/>
      <c r="BF235" s="51"/>
      <c r="BG235" s="51"/>
      <c r="BH235" s="51"/>
      <c r="BI235" s="51"/>
      <c r="BJ235" s="51"/>
      <c r="BK235" s="51"/>
      <c r="BL235" s="51"/>
      <c r="BM235" s="51"/>
      <c r="BN235" s="51"/>
      <c r="BO235" s="51"/>
      <c r="BP235" s="51"/>
      <c r="BQ235" s="51"/>
      <c r="BR235" s="51"/>
      <c r="BS235" s="51"/>
      <c r="BT235" s="51"/>
      <c r="BU235" s="51"/>
      <c r="BV235" s="51"/>
      <c r="BW235" s="51"/>
      <c r="BX235" s="51"/>
      <c r="BY235" s="51"/>
      <c r="BZ235" s="51"/>
      <c r="CA235" s="51"/>
      <c r="CB235" s="51"/>
      <c r="CC235" s="51"/>
      <c r="CD235" s="51"/>
      <c r="CE235" s="51"/>
      <c r="CF235" s="51"/>
      <c r="CG235" s="51"/>
    </row>
    <row r="236" ht="30.0"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c r="BA236" s="51"/>
      <c r="BB236" s="51"/>
      <c r="BC236" s="51"/>
      <c r="BD236" s="51"/>
      <c r="BE236" s="51"/>
      <c r="BF236" s="51"/>
      <c r="BG236" s="51"/>
      <c r="BH236" s="51"/>
      <c r="BI236" s="51"/>
      <c r="BJ236" s="51"/>
      <c r="BK236" s="51"/>
      <c r="BL236" s="51"/>
      <c r="BM236" s="51"/>
      <c r="BN236" s="51"/>
      <c r="BO236" s="51"/>
      <c r="BP236" s="51"/>
      <c r="BQ236" s="51"/>
      <c r="BR236" s="51"/>
      <c r="BS236" s="51"/>
      <c r="BT236" s="51"/>
      <c r="BU236" s="51"/>
      <c r="BV236" s="51"/>
      <c r="BW236" s="51"/>
      <c r="BX236" s="51"/>
      <c r="BY236" s="51"/>
      <c r="BZ236" s="51"/>
      <c r="CA236" s="51"/>
      <c r="CB236" s="51"/>
      <c r="CC236" s="51"/>
      <c r="CD236" s="51"/>
      <c r="CE236" s="51"/>
      <c r="CF236" s="51"/>
      <c r="CG236" s="51"/>
    </row>
    <row r="237" ht="30.0"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c r="BA237" s="51"/>
      <c r="BB237" s="51"/>
      <c r="BC237" s="51"/>
      <c r="BD237" s="51"/>
      <c r="BE237" s="51"/>
      <c r="BF237" s="51"/>
      <c r="BG237" s="51"/>
      <c r="BH237" s="51"/>
      <c r="BI237" s="51"/>
      <c r="BJ237" s="51"/>
      <c r="BK237" s="51"/>
      <c r="BL237" s="51"/>
      <c r="BM237" s="51"/>
      <c r="BN237" s="51"/>
      <c r="BO237" s="51"/>
      <c r="BP237" s="51"/>
      <c r="BQ237" s="51"/>
      <c r="BR237" s="51"/>
      <c r="BS237" s="51"/>
      <c r="BT237" s="51"/>
      <c r="BU237" s="51"/>
      <c r="BV237" s="51"/>
      <c r="BW237" s="51"/>
      <c r="BX237" s="51"/>
      <c r="BY237" s="51"/>
      <c r="BZ237" s="51"/>
      <c r="CA237" s="51"/>
      <c r="CB237" s="51"/>
      <c r="CC237" s="51"/>
      <c r="CD237" s="51"/>
      <c r="CE237" s="51"/>
      <c r="CF237" s="51"/>
      <c r="CG237" s="51"/>
    </row>
    <row r="238" ht="30.0"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c r="BA238" s="51"/>
      <c r="BB238" s="51"/>
      <c r="BC238" s="51"/>
      <c r="BD238" s="51"/>
      <c r="BE238" s="51"/>
      <c r="BF238" s="51"/>
      <c r="BG238" s="51"/>
      <c r="BH238" s="51"/>
      <c r="BI238" s="51"/>
      <c r="BJ238" s="51"/>
      <c r="BK238" s="51"/>
      <c r="BL238" s="51"/>
      <c r="BM238" s="51"/>
      <c r="BN238" s="51"/>
      <c r="BO238" s="51"/>
      <c r="BP238" s="51"/>
      <c r="BQ238" s="51"/>
      <c r="BR238" s="51"/>
      <c r="BS238" s="51"/>
      <c r="BT238" s="51"/>
      <c r="BU238" s="51"/>
      <c r="BV238" s="51"/>
      <c r="BW238" s="51"/>
      <c r="BX238" s="51"/>
      <c r="BY238" s="51"/>
      <c r="BZ238" s="51"/>
      <c r="CA238" s="51"/>
      <c r="CB238" s="51"/>
      <c r="CC238" s="51"/>
      <c r="CD238" s="51"/>
      <c r="CE238" s="51"/>
      <c r="CF238" s="51"/>
      <c r="CG238" s="51"/>
    </row>
    <row r="239" ht="30.0"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c r="BA239" s="51"/>
      <c r="BB239" s="51"/>
      <c r="BC239" s="51"/>
      <c r="BD239" s="51"/>
      <c r="BE239" s="51"/>
      <c r="BF239" s="51"/>
      <c r="BG239" s="51"/>
      <c r="BH239" s="51"/>
      <c r="BI239" s="51"/>
      <c r="BJ239" s="51"/>
      <c r="BK239" s="51"/>
      <c r="BL239" s="51"/>
      <c r="BM239" s="51"/>
      <c r="BN239" s="51"/>
      <c r="BO239" s="51"/>
      <c r="BP239" s="51"/>
      <c r="BQ239" s="51"/>
      <c r="BR239" s="51"/>
      <c r="BS239" s="51"/>
      <c r="BT239" s="51"/>
      <c r="BU239" s="51"/>
      <c r="BV239" s="51"/>
      <c r="BW239" s="51"/>
      <c r="BX239" s="51"/>
      <c r="BY239" s="51"/>
      <c r="BZ239" s="51"/>
      <c r="CA239" s="51"/>
      <c r="CB239" s="51"/>
      <c r="CC239" s="51"/>
      <c r="CD239" s="51"/>
      <c r="CE239" s="51"/>
      <c r="CF239" s="51"/>
      <c r="CG239" s="51"/>
    </row>
    <row r="240" ht="30.0"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c r="BA240" s="51"/>
      <c r="BB240" s="51"/>
      <c r="BC240" s="51"/>
      <c r="BD240" s="51"/>
      <c r="BE240" s="51"/>
      <c r="BF240" s="51"/>
      <c r="BG240" s="51"/>
      <c r="BH240" s="51"/>
      <c r="BI240" s="51"/>
      <c r="BJ240" s="51"/>
      <c r="BK240" s="51"/>
      <c r="BL240" s="51"/>
      <c r="BM240" s="51"/>
      <c r="BN240" s="51"/>
      <c r="BO240" s="51"/>
      <c r="BP240" s="51"/>
      <c r="BQ240" s="51"/>
      <c r="BR240" s="51"/>
      <c r="BS240" s="51"/>
      <c r="BT240" s="51"/>
      <c r="BU240" s="51"/>
      <c r="BV240" s="51"/>
      <c r="BW240" s="51"/>
      <c r="BX240" s="51"/>
      <c r="BY240" s="51"/>
      <c r="BZ240" s="51"/>
      <c r="CA240" s="51"/>
      <c r="CB240" s="51"/>
      <c r="CC240" s="51"/>
      <c r="CD240" s="51"/>
      <c r="CE240" s="51"/>
      <c r="CF240" s="51"/>
      <c r="CG240" s="51"/>
    </row>
    <row r="241" ht="30.0"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c r="BA241" s="51"/>
      <c r="BB241" s="51"/>
      <c r="BC241" s="51"/>
      <c r="BD241" s="51"/>
      <c r="BE241" s="51"/>
      <c r="BF241" s="51"/>
      <c r="BG241" s="51"/>
      <c r="BH241" s="51"/>
      <c r="BI241" s="51"/>
      <c r="BJ241" s="51"/>
      <c r="BK241" s="51"/>
      <c r="BL241" s="51"/>
      <c r="BM241" s="51"/>
      <c r="BN241" s="51"/>
      <c r="BO241" s="51"/>
      <c r="BP241" s="51"/>
      <c r="BQ241" s="51"/>
      <c r="BR241" s="51"/>
      <c r="BS241" s="51"/>
      <c r="BT241" s="51"/>
      <c r="BU241" s="51"/>
      <c r="BV241" s="51"/>
      <c r="BW241" s="51"/>
      <c r="BX241" s="51"/>
      <c r="BY241" s="51"/>
      <c r="BZ241" s="51"/>
      <c r="CA241" s="51"/>
      <c r="CB241" s="51"/>
      <c r="CC241" s="51"/>
      <c r="CD241" s="51"/>
      <c r="CE241" s="51"/>
      <c r="CF241" s="51"/>
      <c r="CG241" s="51"/>
    </row>
    <row r="242" ht="30.0"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c r="BA242" s="51"/>
      <c r="BB242" s="51"/>
      <c r="BC242" s="51"/>
      <c r="BD242" s="51"/>
      <c r="BE242" s="51"/>
      <c r="BF242" s="51"/>
      <c r="BG242" s="51"/>
      <c r="BH242" s="51"/>
      <c r="BI242" s="51"/>
      <c r="BJ242" s="51"/>
      <c r="BK242" s="51"/>
      <c r="BL242" s="51"/>
      <c r="BM242" s="51"/>
      <c r="BN242" s="51"/>
      <c r="BO242" s="51"/>
      <c r="BP242" s="51"/>
      <c r="BQ242" s="51"/>
      <c r="BR242" s="51"/>
      <c r="BS242" s="51"/>
      <c r="BT242" s="51"/>
      <c r="BU242" s="51"/>
      <c r="BV242" s="51"/>
      <c r="BW242" s="51"/>
      <c r="BX242" s="51"/>
      <c r="BY242" s="51"/>
      <c r="BZ242" s="51"/>
      <c r="CA242" s="51"/>
      <c r="CB242" s="51"/>
      <c r="CC242" s="51"/>
      <c r="CD242" s="51"/>
      <c r="CE242" s="51"/>
      <c r="CF242" s="51"/>
      <c r="CG242" s="51"/>
    </row>
    <row r="243" ht="30.0"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c r="BA243" s="51"/>
      <c r="BB243" s="51"/>
      <c r="BC243" s="51"/>
      <c r="BD243" s="51"/>
      <c r="BE243" s="51"/>
      <c r="BF243" s="51"/>
      <c r="BG243" s="51"/>
      <c r="BH243" s="51"/>
      <c r="BI243" s="51"/>
      <c r="BJ243" s="51"/>
      <c r="BK243" s="51"/>
      <c r="BL243" s="51"/>
      <c r="BM243" s="51"/>
      <c r="BN243" s="51"/>
      <c r="BO243" s="51"/>
      <c r="BP243" s="51"/>
      <c r="BQ243" s="51"/>
      <c r="BR243" s="51"/>
      <c r="BS243" s="51"/>
      <c r="BT243" s="51"/>
      <c r="BU243" s="51"/>
      <c r="BV243" s="51"/>
      <c r="BW243" s="51"/>
      <c r="BX243" s="51"/>
      <c r="BY243" s="51"/>
      <c r="BZ243" s="51"/>
      <c r="CA243" s="51"/>
      <c r="CB243" s="51"/>
      <c r="CC243" s="51"/>
      <c r="CD243" s="51"/>
      <c r="CE243" s="51"/>
      <c r="CF243" s="51"/>
      <c r="CG243" s="51"/>
    </row>
    <row r="244" ht="30.0"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c r="BA244" s="51"/>
      <c r="BB244" s="51"/>
      <c r="BC244" s="51"/>
      <c r="BD244" s="51"/>
      <c r="BE244" s="51"/>
      <c r="BF244" s="51"/>
      <c r="BG244" s="51"/>
      <c r="BH244" s="51"/>
      <c r="BI244" s="51"/>
      <c r="BJ244" s="51"/>
      <c r="BK244" s="51"/>
      <c r="BL244" s="51"/>
      <c r="BM244" s="51"/>
      <c r="BN244" s="51"/>
      <c r="BO244" s="51"/>
      <c r="BP244" s="51"/>
      <c r="BQ244" s="51"/>
      <c r="BR244" s="51"/>
      <c r="BS244" s="51"/>
      <c r="BT244" s="51"/>
      <c r="BU244" s="51"/>
      <c r="BV244" s="51"/>
      <c r="BW244" s="51"/>
      <c r="BX244" s="51"/>
      <c r="BY244" s="51"/>
      <c r="BZ244" s="51"/>
      <c r="CA244" s="51"/>
      <c r="CB244" s="51"/>
      <c r="CC244" s="51"/>
      <c r="CD244" s="51"/>
      <c r="CE244" s="51"/>
      <c r="CF244" s="51"/>
      <c r="CG244" s="51"/>
    </row>
    <row r="245" ht="30.0"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c r="BA245" s="51"/>
      <c r="BB245" s="51"/>
      <c r="BC245" s="51"/>
      <c r="BD245" s="51"/>
      <c r="BE245" s="51"/>
      <c r="BF245" s="51"/>
      <c r="BG245" s="51"/>
      <c r="BH245" s="51"/>
      <c r="BI245" s="51"/>
      <c r="BJ245" s="51"/>
      <c r="BK245" s="51"/>
      <c r="BL245" s="51"/>
      <c r="BM245" s="51"/>
      <c r="BN245" s="51"/>
      <c r="BO245" s="51"/>
      <c r="BP245" s="51"/>
      <c r="BQ245" s="51"/>
      <c r="BR245" s="51"/>
      <c r="BS245" s="51"/>
      <c r="BT245" s="51"/>
      <c r="BU245" s="51"/>
      <c r="BV245" s="51"/>
      <c r="BW245" s="51"/>
      <c r="BX245" s="51"/>
      <c r="BY245" s="51"/>
      <c r="BZ245" s="51"/>
      <c r="CA245" s="51"/>
      <c r="CB245" s="51"/>
      <c r="CC245" s="51"/>
      <c r="CD245" s="51"/>
      <c r="CE245" s="51"/>
      <c r="CF245" s="51"/>
      <c r="CG245" s="51"/>
    </row>
    <row r="246" ht="30.0"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c r="BA246" s="51"/>
      <c r="BB246" s="51"/>
      <c r="BC246" s="51"/>
      <c r="BD246" s="51"/>
      <c r="BE246" s="51"/>
      <c r="BF246" s="51"/>
      <c r="BG246" s="51"/>
      <c r="BH246" s="51"/>
      <c r="BI246" s="51"/>
      <c r="BJ246" s="51"/>
      <c r="BK246" s="51"/>
      <c r="BL246" s="51"/>
      <c r="BM246" s="51"/>
      <c r="BN246" s="51"/>
      <c r="BO246" s="51"/>
      <c r="BP246" s="51"/>
      <c r="BQ246" s="51"/>
      <c r="BR246" s="51"/>
      <c r="BS246" s="51"/>
      <c r="BT246" s="51"/>
      <c r="BU246" s="51"/>
      <c r="BV246" s="51"/>
      <c r="BW246" s="51"/>
      <c r="BX246" s="51"/>
      <c r="BY246" s="51"/>
      <c r="BZ246" s="51"/>
      <c r="CA246" s="51"/>
      <c r="CB246" s="51"/>
      <c r="CC246" s="51"/>
      <c r="CD246" s="51"/>
      <c r="CE246" s="51"/>
      <c r="CF246" s="51"/>
      <c r="CG246" s="51"/>
    </row>
    <row r="247" ht="30.0"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c r="BA247" s="51"/>
      <c r="BB247" s="51"/>
      <c r="BC247" s="51"/>
      <c r="BD247" s="51"/>
      <c r="BE247" s="51"/>
      <c r="BF247" s="51"/>
      <c r="BG247" s="51"/>
      <c r="BH247" s="51"/>
      <c r="BI247" s="51"/>
      <c r="BJ247" s="51"/>
      <c r="BK247" s="51"/>
      <c r="BL247" s="51"/>
      <c r="BM247" s="51"/>
      <c r="BN247" s="51"/>
      <c r="BO247" s="51"/>
      <c r="BP247" s="51"/>
      <c r="BQ247" s="51"/>
      <c r="BR247" s="51"/>
      <c r="BS247" s="51"/>
      <c r="BT247" s="51"/>
      <c r="BU247" s="51"/>
      <c r="BV247" s="51"/>
      <c r="BW247" s="51"/>
      <c r="BX247" s="51"/>
      <c r="BY247" s="51"/>
      <c r="BZ247" s="51"/>
      <c r="CA247" s="51"/>
      <c r="CB247" s="51"/>
      <c r="CC247" s="51"/>
      <c r="CD247" s="51"/>
      <c r="CE247" s="51"/>
      <c r="CF247" s="51"/>
      <c r="CG247" s="51"/>
    </row>
    <row r="248" ht="30.0"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c r="BA248" s="51"/>
      <c r="BB248" s="51"/>
      <c r="BC248" s="51"/>
      <c r="BD248" s="51"/>
      <c r="BE248" s="51"/>
      <c r="BF248" s="51"/>
      <c r="BG248" s="51"/>
      <c r="BH248" s="51"/>
      <c r="BI248" s="51"/>
      <c r="BJ248" s="51"/>
      <c r="BK248" s="51"/>
      <c r="BL248" s="51"/>
      <c r="BM248" s="51"/>
      <c r="BN248" s="51"/>
      <c r="BO248" s="51"/>
      <c r="BP248" s="51"/>
      <c r="BQ248" s="51"/>
      <c r="BR248" s="51"/>
      <c r="BS248" s="51"/>
      <c r="BT248" s="51"/>
      <c r="BU248" s="51"/>
      <c r="BV248" s="51"/>
      <c r="BW248" s="51"/>
      <c r="BX248" s="51"/>
      <c r="BY248" s="51"/>
      <c r="BZ248" s="51"/>
      <c r="CA248" s="51"/>
      <c r="CB248" s="51"/>
      <c r="CC248" s="51"/>
      <c r="CD248" s="51"/>
      <c r="CE248" s="51"/>
      <c r="CF248" s="51"/>
      <c r="CG248" s="51"/>
    </row>
    <row r="249" ht="30.0"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c r="BA249" s="51"/>
      <c r="BB249" s="51"/>
      <c r="BC249" s="51"/>
      <c r="BD249" s="51"/>
      <c r="BE249" s="51"/>
      <c r="BF249" s="51"/>
      <c r="BG249" s="51"/>
      <c r="BH249" s="51"/>
      <c r="BI249" s="51"/>
      <c r="BJ249" s="51"/>
      <c r="BK249" s="51"/>
      <c r="BL249" s="51"/>
      <c r="BM249" s="51"/>
      <c r="BN249" s="51"/>
      <c r="BO249" s="51"/>
      <c r="BP249" s="51"/>
      <c r="BQ249" s="51"/>
      <c r="BR249" s="51"/>
      <c r="BS249" s="51"/>
      <c r="BT249" s="51"/>
      <c r="BU249" s="51"/>
      <c r="BV249" s="51"/>
      <c r="BW249" s="51"/>
      <c r="BX249" s="51"/>
      <c r="BY249" s="51"/>
      <c r="BZ249" s="51"/>
      <c r="CA249" s="51"/>
      <c r="CB249" s="51"/>
      <c r="CC249" s="51"/>
      <c r="CD249" s="51"/>
      <c r="CE249" s="51"/>
      <c r="CF249" s="51"/>
      <c r="CG249" s="51"/>
    </row>
    <row r="250" ht="30.0"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c r="BA250" s="51"/>
      <c r="BB250" s="51"/>
      <c r="BC250" s="51"/>
      <c r="BD250" s="51"/>
      <c r="BE250" s="51"/>
      <c r="BF250" s="51"/>
      <c r="BG250" s="51"/>
      <c r="BH250" s="51"/>
      <c r="BI250" s="51"/>
      <c r="BJ250" s="51"/>
      <c r="BK250" s="51"/>
      <c r="BL250" s="51"/>
      <c r="BM250" s="51"/>
      <c r="BN250" s="51"/>
      <c r="BO250" s="51"/>
      <c r="BP250" s="51"/>
      <c r="BQ250" s="51"/>
      <c r="BR250" s="51"/>
      <c r="BS250" s="51"/>
      <c r="BT250" s="51"/>
      <c r="BU250" s="51"/>
      <c r="BV250" s="51"/>
      <c r="BW250" s="51"/>
      <c r="BX250" s="51"/>
      <c r="BY250" s="51"/>
      <c r="BZ250" s="51"/>
      <c r="CA250" s="51"/>
      <c r="CB250" s="51"/>
      <c r="CC250" s="51"/>
      <c r="CD250" s="51"/>
      <c r="CE250" s="51"/>
      <c r="CF250" s="51"/>
      <c r="CG250" s="51"/>
    </row>
    <row r="251" ht="30.0"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c r="BA251" s="51"/>
      <c r="BB251" s="51"/>
      <c r="BC251" s="51"/>
      <c r="BD251" s="51"/>
      <c r="BE251" s="51"/>
      <c r="BF251" s="51"/>
      <c r="BG251" s="51"/>
      <c r="BH251" s="51"/>
      <c r="BI251" s="51"/>
      <c r="BJ251" s="51"/>
      <c r="BK251" s="51"/>
      <c r="BL251" s="51"/>
      <c r="BM251" s="51"/>
      <c r="BN251" s="51"/>
      <c r="BO251" s="51"/>
      <c r="BP251" s="51"/>
      <c r="BQ251" s="51"/>
      <c r="BR251" s="51"/>
      <c r="BS251" s="51"/>
      <c r="BT251" s="51"/>
      <c r="BU251" s="51"/>
      <c r="BV251" s="51"/>
      <c r="BW251" s="51"/>
      <c r="BX251" s="51"/>
      <c r="BY251" s="51"/>
      <c r="BZ251" s="51"/>
      <c r="CA251" s="51"/>
      <c r="CB251" s="51"/>
      <c r="CC251" s="51"/>
      <c r="CD251" s="51"/>
      <c r="CE251" s="51"/>
      <c r="CF251" s="51"/>
      <c r="CG251" s="51"/>
    </row>
    <row r="252" ht="30.0"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c r="BA252" s="51"/>
      <c r="BB252" s="51"/>
      <c r="BC252" s="51"/>
      <c r="BD252" s="51"/>
      <c r="BE252" s="51"/>
      <c r="BF252" s="51"/>
      <c r="BG252" s="51"/>
      <c r="BH252" s="51"/>
      <c r="BI252" s="51"/>
      <c r="BJ252" s="51"/>
      <c r="BK252" s="51"/>
      <c r="BL252" s="51"/>
      <c r="BM252" s="51"/>
      <c r="BN252" s="51"/>
      <c r="BO252" s="51"/>
      <c r="BP252" s="51"/>
      <c r="BQ252" s="51"/>
      <c r="BR252" s="51"/>
      <c r="BS252" s="51"/>
      <c r="BT252" s="51"/>
      <c r="BU252" s="51"/>
      <c r="BV252" s="51"/>
      <c r="BW252" s="51"/>
      <c r="BX252" s="51"/>
      <c r="BY252" s="51"/>
      <c r="BZ252" s="51"/>
      <c r="CA252" s="51"/>
      <c r="CB252" s="51"/>
      <c r="CC252" s="51"/>
      <c r="CD252" s="51"/>
      <c r="CE252" s="51"/>
      <c r="CF252" s="51"/>
      <c r="CG252" s="51"/>
    </row>
    <row r="253" ht="30.0"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c r="BA253" s="51"/>
      <c r="BB253" s="51"/>
      <c r="BC253" s="51"/>
      <c r="BD253" s="51"/>
      <c r="BE253" s="51"/>
      <c r="BF253" s="51"/>
      <c r="BG253" s="51"/>
      <c r="BH253" s="51"/>
      <c r="BI253" s="51"/>
      <c r="BJ253" s="51"/>
      <c r="BK253" s="51"/>
      <c r="BL253" s="51"/>
      <c r="BM253" s="51"/>
      <c r="BN253" s="51"/>
      <c r="BO253" s="51"/>
      <c r="BP253" s="51"/>
      <c r="BQ253" s="51"/>
      <c r="BR253" s="51"/>
      <c r="BS253" s="51"/>
      <c r="BT253" s="51"/>
      <c r="BU253" s="51"/>
      <c r="BV253" s="51"/>
      <c r="BW253" s="51"/>
      <c r="BX253" s="51"/>
      <c r="BY253" s="51"/>
      <c r="BZ253" s="51"/>
      <c r="CA253" s="51"/>
      <c r="CB253" s="51"/>
      <c r="CC253" s="51"/>
      <c r="CD253" s="51"/>
      <c r="CE253" s="51"/>
      <c r="CF253" s="51"/>
      <c r="CG253" s="51"/>
    </row>
    <row r="254" ht="30.0"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c r="BA254" s="51"/>
      <c r="BB254" s="51"/>
      <c r="BC254" s="51"/>
      <c r="BD254" s="51"/>
      <c r="BE254" s="51"/>
      <c r="BF254" s="51"/>
      <c r="BG254" s="51"/>
      <c r="BH254" s="51"/>
      <c r="BI254" s="51"/>
      <c r="BJ254" s="51"/>
      <c r="BK254" s="51"/>
      <c r="BL254" s="51"/>
      <c r="BM254" s="51"/>
      <c r="BN254" s="51"/>
      <c r="BO254" s="51"/>
      <c r="BP254" s="51"/>
      <c r="BQ254" s="51"/>
      <c r="BR254" s="51"/>
      <c r="BS254" s="51"/>
      <c r="BT254" s="51"/>
      <c r="BU254" s="51"/>
      <c r="BV254" s="51"/>
      <c r="BW254" s="51"/>
      <c r="BX254" s="51"/>
      <c r="BY254" s="51"/>
      <c r="BZ254" s="51"/>
      <c r="CA254" s="51"/>
      <c r="CB254" s="51"/>
      <c r="CC254" s="51"/>
      <c r="CD254" s="51"/>
      <c r="CE254" s="51"/>
      <c r="CF254" s="51"/>
      <c r="CG254" s="51"/>
    </row>
    <row r="255" ht="30.0"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c r="BA255" s="51"/>
      <c r="BB255" s="51"/>
      <c r="BC255" s="51"/>
      <c r="BD255" s="51"/>
      <c r="BE255" s="51"/>
      <c r="BF255" s="51"/>
      <c r="BG255" s="51"/>
      <c r="BH255" s="51"/>
      <c r="BI255" s="51"/>
      <c r="BJ255" s="51"/>
      <c r="BK255" s="51"/>
      <c r="BL255" s="51"/>
      <c r="BM255" s="51"/>
      <c r="BN255" s="51"/>
      <c r="BO255" s="51"/>
      <c r="BP255" s="51"/>
      <c r="BQ255" s="51"/>
      <c r="BR255" s="51"/>
      <c r="BS255" s="51"/>
      <c r="BT255" s="51"/>
      <c r="BU255" s="51"/>
      <c r="BV255" s="51"/>
      <c r="BW255" s="51"/>
      <c r="BX255" s="51"/>
      <c r="BY255" s="51"/>
      <c r="BZ255" s="51"/>
      <c r="CA255" s="51"/>
      <c r="CB255" s="51"/>
      <c r="CC255" s="51"/>
      <c r="CD255" s="51"/>
      <c r="CE255" s="51"/>
      <c r="CF255" s="51"/>
      <c r="CG255" s="51"/>
    </row>
    <row r="256" ht="30.0"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c r="BA256" s="51"/>
      <c r="BB256" s="51"/>
      <c r="BC256" s="51"/>
      <c r="BD256" s="51"/>
      <c r="BE256" s="51"/>
      <c r="BF256" s="51"/>
      <c r="BG256" s="51"/>
      <c r="BH256" s="51"/>
      <c r="BI256" s="51"/>
      <c r="BJ256" s="51"/>
      <c r="BK256" s="51"/>
      <c r="BL256" s="51"/>
      <c r="BM256" s="51"/>
      <c r="BN256" s="51"/>
      <c r="BO256" s="51"/>
      <c r="BP256" s="51"/>
      <c r="BQ256" s="51"/>
      <c r="BR256" s="51"/>
      <c r="BS256" s="51"/>
      <c r="BT256" s="51"/>
      <c r="BU256" s="51"/>
      <c r="BV256" s="51"/>
      <c r="BW256" s="51"/>
      <c r="BX256" s="51"/>
      <c r="BY256" s="51"/>
      <c r="BZ256" s="51"/>
      <c r="CA256" s="51"/>
      <c r="CB256" s="51"/>
      <c r="CC256" s="51"/>
      <c r="CD256" s="51"/>
      <c r="CE256" s="51"/>
      <c r="CF256" s="51"/>
      <c r="CG256" s="51"/>
    </row>
    <row r="257" ht="30.0"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c r="BA257" s="51"/>
      <c r="BB257" s="51"/>
      <c r="BC257" s="51"/>
      <c r="BD257" s="51"/>
      <c r="BE257" s="51"/>
      <c r="BF257" s="51"/>
      <c r="BG257" s="51"/>
      <c r="BH257" s="51"/>
      <c r="BI257" s="51"/>
      <c r="BJ257" s="51"/>
      <c r="BK257" s="51"/>
      <c r="BL257" s="51"/>
      <c r="BM257" s="51"/>
      <c r="BN257" s="51"/>
      <c r="BO257" s="51"/>
      <c r="BP257" s="51"/>
      <c r="BQ257" s="51"/>
      <c r="BR257" s="51"/>
      <c r="BS257" s="51"/>
      <c r="BT257" s="51"/>
      <c r="BU257" s="51"/>
      <c r="BV257" s="51"/>
      <c r="BW257" s="51"/>
      <c r="BX257" s="51"/>
      <c r="BY257" s="51"/>
      <c r="BZ257" s="51"/>
      <c r="CA257" s="51"/>
      <c r="CB257" s="51"/>
      <c r="CC257" s="51"/>
      <c r="CD257" s="51"/>
      <c r="CE257" s="51"/>
      <c r="CF257" s="51"/>
      <c r="CG257" s="51"/>
    </row>
    <row r="258" ht="30.0"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c r="BA258" s="51"/>
      <c r="BB258" s="51"/>
      <c r="BC258" s="51"/>
      <c r="BD258" s="51"/>
      <c r="BE258" s="51"/>
      <c r="BF258" s="51"/>
      <c r="BG258" s="51"/>
      <c r="BH258" s="51"/>
      <c r="BI258" s="51"/>
      <c r="BJ258" s="51"/>
      <c r="BK258" s="51"/>
      <c r="BL258" s="51"/>
      <c r="BM258" s="51"/>
      <c r="BN258" s="51"/>
      <c r="BO258" s="51"/>
      <c r="BP258" s="51"/>
      <c r="BQ258" s="51"/>
      <c r="BR258" s="51"/>
      <c r="BS258" s="51"/>
      <c r="BT258" s="51"/>
      <c r="BU258" s="51"/>
      <c r="BV258" s="51"/>
      <c r="BW258" s="51"/>
      <c r="BX258" s="51"/>
      <c r="BY258" s="51"/>
      <c r="BZ258" s="51"/>
      <c r="CA258" s="51"/>
      <c r="CB258" s="51"/>
      <c r="CC258" s="51"/>
      <c r="CD258" s="51"/>
      <c r="CE258" s="51"/>
      <c r="CF258" s="51"/>
      <c r="CG258" s="51"/>
    </row>
    <row r="259" ht="30.0"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c r="BZ259" s="51"/>
      <c r="CA259" s="51"/>
      <c r="CB259" s="51"/>
      <c r="CC259" s="51"/>
      <c r="CD259" s="51"/>
      <c r="CE259" s="51"/>
      <c r="CF259" s="51"/>
      <c r="CG259" s="51"/>
    </row>
    <row r="260" ht="30.0"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c r="BA260" s="51"/>
      <c r="BB260" s="51"/>
      <c r="BC260" s="51"/>
      <c r="BD260" s="51"/>
      <c r="BE260" s="51"/>
      <c r="BF260" s="51"/>
      <c r="BG260" s="51"/>
      <c r="BH260" s="51"/>
      <c r="BI260" s="51"/>
      <c r="BJ260" s="51"/>
      <c r="BK260" s="51"/>
      <c r="BL260" s="51"/>
      <c r="BM260" s="51"/>
      <c r="BN260" s="51"/>
      <c r="BO260" s="51"/>
      <c r="BP260" s="51"/>
      <c r="BQ260" s="51"/>
      <c r="BR260" s="51"/>
      <c r="BS260" s="51"/>
      <c r="BT260" s="51"/>
      <c r="BU260" s="51"/>
      <c r="BV260" s="51"/>
      <c r="BW260" s="51"/>
      <c r="BX260" s="51"/>
      <c r="BY260" s="51"/>
      <c r="BZ260" s="51"/>
      <c r="CA260" s="51"/>
      <c r="CB260" s="51"/>
      <c r="CC260" s="51"/>
      <c r="CD260" s="51"/>
      <c r="CE260" s="51"/>
      <c r="CF260" s="51"/>
      <c r="CG260" s="51"/>
    </row>
    <row r="261" ht="30.0"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c r="BA261" s="51"/>
      <c r="BB261" s="51"/>
      <c r="BC261" s="51"/>
      <c r="BD261" s="51"/>
      <c r="BE261" s="51"/>
      <c r="BF261" s="51"/>
      <c r="BG261" s="51"/>
      <c r="BH261" s="51"/>
      <c r="BI261" s="51"/>
      <c r="BJ261" s="51"/>
      <c r="BK261" s="51"/>
      <c r="BL261" s="51"/>
      <c r="BM261" s="51"/>
      <c r="BN261" s="51"/>
      <c r="BO261" s="51"/>
      <c r="BP261" s="51"/>
      <c r="BQ261" s="51"/>
      <c r="BR261" s="51"/>
      <c r="BS261" s="51"/>
      <c r="BT261" s="51"/>
      <c r="BU261" s="51"/>
      <c r="BV261" s="51"/>
      <c r="BW261" s="51"/>
      <c r="BX261" s="51"/>
      <c r="BY261" s="51"/>
      <c r="BZ261" s="51"/>
      <c r="CA261" s="51"/>
      <c r="CB261" s="51"/>
      <c r="CC261" s="51"/>
      <c r="CD261" s="51"/>
      <c r="CE261" s="51"/>
      <c r="CF261" s="51"/>
      <c r="CG261" s="51"/>
    </row>
    <row r="262" ht="30.0"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c r="BA262" s="51"/>
      <c r="BB262" s="51"/>
      <c r="BC262" s="51"/>
      <c r="BD262" s="51"/>
      <c r="BE262" s="51"/>
      <c r="BF262" s="51"/>
      <c r="BG262" s="51"/>
      <c r="BH262" s="51"/>
      <c r="BI262" s="51"/>
      <c r="BJ262" s="51"/>
      <c r="BK262" s="51"/>
      <c r="BL262" s="51"/>
      <c r="BM262" s="51"/>
      <c r="BN262" s="51"/>
      <c r="BO262" s="51"/>
      <c r="BP262" s="51"/>
      <c r="BQ262" s="51"/>
      <c r="BR262" s="51"/>
      <c r="BS262" s="51"/>
      <c r="BT262" s="51"/>
      <c r="BU262" s="51"/>
      <c r="BV262" s="51"/>
      <c r="BW262" s="51"/>
      <c r="BX262" s="51"/>
      <c r="BY262" s="51"/>
      <c r="BZ262" s="51"/>
      <c r="CA262" s="51"/>
      <c r="CB262" s="51"/>
      <c r="CC262" s="51"/>
      <c r="CD262" s="51"/>
      <c r="CE262" s="51"/>
      <c r="CF262" s="51"/>
      <c r="CG262" s="51"/>
    </row>
    <row r="263" ht="30.0"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c r="BA263" s="51"/>
      <c r="BB263" s="51"/>
      <c r="BC263" s="51"/>
      <c r="BD263" s="51"/>
      <c r="BE263" s="51"/>
      <c r="BF263" s="51"/>
      <c r="BG263" s="51"/>
      <c r="BH263" s="51"/>
      <c r="BI263" s="51"/>
      <c r="BJ263" s="51"/>
      <c r="BK263" s="51"/>
      <c r="BL263" s="51"/>
      <c r="BM263" s="51"/>
      <c r="BN263" s="51"/>
      <c r="BO263" s="51"/>
      <c r="BP263" s="51"/>
      <c r="BQ263" s="51"/>
      <c r="BR263" s="51"/>
      <c r="BS263" s="51"/>
      <c r="BT263" s="51"/>
      <c r="BU263" s="51"/>
      <c r="BV263" s="51"/>
      <c r="BW263" s="51"/>
      <c r="BX263" s="51"/>
      <c r="BY263" s="51"/>
      <c r="BZ263" s="51"/>
      <c r="CA263" s="51"/>
      <c r="CB263" s="51"/>
      <c r="CC263" s="51"/>
      <c r="CD263" s="51"/>
      <c r="CE263" s="51"/>
      <c r="CF263" s="51"/>
      <c r="CG263" s="51"/>
    </row>
    <row r="264" ht="30.0"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c r="BA264" s="51"/>
      <c r="BB264" s="51"/>
      <c r="BC264" s="51"/>
      <c r="BD264" s="51"/>
      <c r="BE264" s="51"/>
      <c r="BF264" s="51"/>
      <c r="BG264" s="51"/>
      <c r="BH264" s="51"/>
      <c r="BI264" s="51"/>
      <c r="BJ264" s="51"/>
      <c r="BK264" s="51"/>
      <c r="BL264" s="51"/>
      <c r="BM264" s="51"/>
      <c r="BN264" s="51"/>
      <c r="BO264" s="51"/>
      <c r="BP264" s="51"/>
      <c r="BQ264" s="51"/>
      <c r="BR264" s="51"/>
      <c r="BS264" s="51"/>
      <c r="BT264" s="51"/>
      <c r="BU264" s="51"/>
      <c r="BV264" s="51"/>
      <c r="BW264" s="51"/>
      <c r="BX264" s="51"/>
      <c r="BY264" s="51"/>
      <c r="BZ264" s="51"/>
      <c r="CA264" s="51"/>
      <c r="CB264" s="51"/>
      <c r="CC264" s="51"/>
      <c r="CD264" s="51"/>
      <c r="CE264" s="51"/>
      <c r="CF264" s="51"/>
      <c r="CG264" s="51"/>
    </row>
    <row r="265" ht="30.0"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c r="BA265" s="51"/>
      <c r="BB265" s="51"/>
      <c r="BC265" s="51"/>
      <c r="BD265" s="51"/>
      <c r="BE265" s="51"/>
      <c r="BF265" s="51"/>
      <c r="BG265" s="51"/>
      <c r="BH265" s="51"/>
      <c r="BI265" s="51"/>
      <c r="BJ265" s="51"/>
      <c r="BK265" s="51"/>
      <c r="BL265" s="51"/>
      <c r="BM265" s="51"/>
      <c r="BN265" s="51"/>
      <c r="BO265" s="51"/>
      <c r="BP265" s="51"/>
      <c r="BQ265" s="51"/>
      <c r="BR265" s="51"/>
      <c r="BS265" s="51"/>
      <c r="BT265" s="51"/>
      <c r="BU265" s="51"/>
      <c r="BV265" s="51"/>
      <c r="BW265" s="51"/>
      <c r="BX265" s="51"/>
      <c r="BY265" s="51"/>
      <c r="BZ265" s="51"/>
      <c r="CA265" s="51"/>
      <c r="CB265" s="51"/>
      <c r="CC265" s="51"/>
      <c r="CD265" s="51"/>
      <c r="CE265" s="51"/>
      <c r="CF265" s="51"/>
      <c r="CG265" s="51"/>
    </row>
    <row r="266" ht="30.0"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c r="BA266" s="51"/>
      <c r="BB266" s="51"/>
      <c r="BC266" s="51"/>
      <c r="BD266" s="51"/>
      <c r="BE266" s="51"/>
      <c r="BF266" s="51"/>
      <c r="BG266" s="51"/>
      <c r="BH266" s="51"/>
      <c r="BI266" s="51"/>
      <c r="BJ266" s="51"/>
      <c r="BK266" s="51"/>
      <c r="BL266" s="51"/>
      <c r="BM266" s="51"/>
      <c r="BN266" s="51"/>
      <c r="BO266" s="51"/>
      <c r="BP266" s="51"/>
      <c r="BQ266" s="51"/>
      <c r="BR266" s="51"/>
      <c r="BS266" s="51"/>
      <c r="BT266" s="51"/>
      <c r="BU266" s="51"/>
      <c r="BV266" s="51"/>
      <c r="BW266" s="51"/>
      <c r="BX266" s="51"/>
      <c r="BY266" s="51"/>
      <c r="BZ266" s="51"/>
      <c r="CA266" s="51"/>
      <c r="CB266" s="51"/>
      <c r="CC266" s="51"/>
      <c r="CD266" s="51"/>
      <c r="CE266" s="51"/>
      <c r="CF266" s="51"/>
      <c r="CG266" s="51"/>
    </row>
    <row r="267" ht="30.0"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c r="BA267" s="51"/>
      <c r="BB267" s="51"/>
      <c r="BC267" s="51"/>
      <c r="BD267" s="51"/>
      <c r="BE267" s="51"/>
      <c r="BF267" s="51"/>
      <c r="BG267" s="51"/>
      <c r="BH267" s="51"/>
      <c r="BI267" s="51"/>
      <c r="BJ267" s="51"/>
      <c r="BK267" s="51"/>
      <c r="BL267" s="51"/>
      <c r="BM267" s="51"/>
      <c r="BN267" s="51"/>
      <c r="BO267" s="51"/>
      <c r="BP267" s="51"/>
      <c r="BQ267" s="51"/>
      <c r="BR267" s="51"/>
      <c r="BS267" s="51"/>
      <c r="BT267" s="51"/>
      <c r="BU267" s="51"/>
      <c r="BV267" s="51"/>
      <c r="BW267" s="51"/>
      <c r="BX267" s="51"/>
      <c r="BY267" s="51"/>
      <c r="BZ267" s="51"/>
      <c r="CA267" s="51"/>
      <c r="CB267" s="51"/>
      <c r="CC267" s="51"/>
      <c r="CD267" s="51"/>
      <c r="CE267" s="51"/>
      <c r="CF267" s="51"/>
      <c r="CG267" s="51"/>
    </row>
    <row r="268" ht="30.0"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c r="BA268" s="51"/>
      <c r="BB268" s="51"/>
      <c r="BC268" s="51"/>
      <c r="BD268" s="51"/>
      <c r="BE268" s="51"/>
      <c r="BF268" s="51"/>
      <c r="BG268" s="51"/>
      <c r="BH268" s="51"/>
      <c r="BI268" s="51"/>
      <c r="BJ268" s="51"/>
      <c r="BK268" s="51"/>
      <c r="BL268" s="51"/>
      <c r="BM268" s="51"/>
      <c r="BN268" s="51"/>
      <c r="BO268" s="51"/>
      <c r="BP268" s="51"/>
      <c r="BQ268" s="51"/>
      <c r="BR268" s="51"/>
      <c r="BS268" s="51"/>
      <c r="BT268" s="51"/>
      <c r="BU268" s="51"/>
      <c r="BV268" s="51"/>
      <c r="BW268" s="51"/>
      <c r="BX268" s="51"/>
      <c r="BY268" s="51"/>
      <c r="BZ268" s="51"/>
      <c r="CA268" s="51"/>
      <c r="CB268" s="51"/>
      <c r="CC268" s="51"/>
      <c r="CD268" s="51"/>
      <c r="CE268" s="51"/>
      <c r="CF268" s="51"/>
      <c r="CG268" s="51"/>
    </row>
    <row r="269" ht="30.0"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c r="BA269" s="51"/>
      <c r="BB269" s="51"/>
      <c r="BC269" s="51"/>
      <c r="BD269" s="51"/>
      <c r="BE269" s="51"/>
      <c r="BF269" s="51"/>
      <c r="BG269" s="51"/>
      <c r="BH269" s="51"/>
      <c r="BI269" s="51"/>
      <c r="BJ269" s="51"/>
      <c r="BK269" s="51"/>
      <c r="BL269" s="51"/>
      <c r="BM269" s="51"/>
      <c r="BN269" s="51"/>
      <c r="BO269" s="51"/>
      <c r="BP269" s="51"/>
      <c r="BQ269" s="51"/>
      <c r="BR269" s="51"/>
      <c r="BS269" s="51"/>
      <c r="BT269" s="51"/>
      <c r="BU269" s="51"/>
      <c r="BV269" s="51"/>
      <c r="BW269" s="51"/>
      <c r="BX269" s="51"/>
      <c r="BY269" s="51"/>
      <c r="BZ269" s="51"/>
      <c r="CA269" s="51"/>
      <c r="CB269" s="51"/>
      <c r="CC269" s="51"/>
      <c r="CD269" s="51"/>
      <c r="CE269" s="51"/>
      <c r="CF269" s="51"/>
      <c r="CG269" s="51"/>
    </row>
    <row r="270" ht="30.0"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c r="BA270" s="51"/>
      <c r="BB270" s="51"/>
      <c r="BC270" s="51"/>
      <c r="BD270" s="51"/>
      <c r="BE270" s="51"/>
      <c r="BF270" s="51"/>
      <c r="BG270" s="51"/>
      <c r="BH270" s="51"/>
      <c r="BI270" s="51"/>
      <c r="BJ270" s="51"/>
      <c r="BK270" s="51"/>
      <c r="BL270" s="51"/>
      <c r="BM270" s="51"/>
      <c r="BN270" s="51"/>
      <c r="BO270" s="51"/>
      <c r="BP270" s="51"/>
      <c r="BQ270" s="51"/>
      <c r="BR270" s="51"/>
      <c r="BS270" s="51"/>
      <c r="BT270" s="51"/>
      <c r="BU270" s="51"/>
      <c r="BV270" s="51"/>
      <c r="BW270" s="51"/>
      <c r="BX270" s="51"/>
      <c r="BY270" s="51"/>
      <c r="BZ270" s="51"/>
      <c r="CA270" s="51"/>
      <c r="CB270" s="51"/>
      <c r="CC270" s="51"/>
      <c r="CD270" s="51"/>
      <c r="CE270" s="51"/>
      <c r="CF270" s="51"/>
      <c r="CG270" s="51"/>
    </row>
    <row r="271" ht="30.0"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c r="BA271" s="51"/>
      <c r="BB271" s="51"/>
      <c r="BC271" s="51"/>
      <c r="BD271" s="51"/>
      <c r="BE271" s="51"/>
      <c r="BF271" s="51"/>
      <c r="BG271" s="51"/>
      <c r="BH271" s="51"/>
      <c r="BI271" s="51"/>
      <c r="BJ271" s="51"/>
      <c r="BK271" s="51"/>
      <c r="BL271" s="51"/>
      <c r="BM271" s="51"/>
      <c r="BN271" s="51"/>
      <c r="BO271" s="51"/>
      <c r="BP271" s="51"/>
      <c r="BQ271" s="51"/>
      <c r="BR271" s="51"/>
      <c r="BS271" s="51"/>
      <c r="BT271" s="51"/>
      <c r="BU271" s="51"/>
      <c r="BV271" s="51"/>
      <c r="BW271" s="51"/>
      <c r="BX271" s="51"/>
      <c r="BY271" s="51"/>
      <c r="BZ271" s="51"/>
      <c r="CA271" s="51"/>
      <c r="CB271" s="51"/>
      <c r="CC271" s="51"/>
      <c r="CD271" s="51"/>
      <c r="CE271" s="51"/>
      <c r="CF271" s="51"/>
      <c r="CG271" s="51"/>
    </row>
    <row r="272" ht="30.0"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c r="BA272" s="51"/>
      <c r="BB272" s="51"/>
      <c r="BC272" s="51"/>
      <c r="BD272" s="51"/>
      <c r="BE272" s="51"/>
      <c r="BF272" s="51"/>
      <c r="BG272" s="51"/>
      <c r="BH272" s="51"/>
      <c r="BI272" s="51"/>
      <c r="BJ272" s="51"/>
      <c r="BK272" s="51"/>
      <c r="BL272" s="51"/>
      <c r="BM272" s="51"/>
      <c r="BN272" s="51"/>
      <c r="BO272" s="51"/>
      <c r="BP272" s="51"/>
      <c r="BQ272" s="51"/>
      <c r="BR272" s="51"/>
      <c r="BS272" s="51"/>
      <c r="BT272" s="51"/>
      <c r="BU272" s="51"/>
      <c r="BV272" s="51"/>
      <c r="BW272" s="51"/>
      <c r="BX272" s="51"/>
      <c r="BY272" s="51"/>
      <c r="BZ272" s="51"/>
      <c r="CA272" s="51"/>
      <c r="CB272" s="51"/>
      <c r="CC272" s="51"/>
      <c r="CD272" s="51"/>
      <c r="CE272" s="51"/>
      <c r="CF272" s="51"/>
      <c r="CG272" s="51"/>
    </row>
    <row r="273" ht="30.0"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c r="BA273" s="51"/>
      <c r="BB273" s="51"/>
      <c r="BC273" s="51"/>
      <c r="BD273" s="51"/>
      <c r="BE273" s="51"/>
      <c r="BF273" s="51"/>
      <c r="BG273" s="51"/>
      <c r="BH273" s="51"/>
      <c r="BI273" s="51"/>
      <c r="BJ273" s="51"/>
      <c r="BK273" s="51"/>
      <c r="BL273" s="51"/>
      <c r="BM273" s="51"/>
      <c r="BN273" s="51"/>
      <c r="BO273" s="51"/>
      <c r="BP273" s="51"/>
      <c r="BQ273" s="51"/>
      <c r="BR273" s="51"/>
      <c r="BS273" s="51"/>
      <c r="BT273" s="51"/>
      <c r="BU273" s="51"/>
      <c r="BV273" s="51"/>
      <c r="BW273" s="51"/>
      <c r="BX273" s="51"/>
      <c r="BY273" s="51"/>
      <c r="BZ273" s="51"/>
      <c r="CA273" s="51"/>
      <c r="CB273" s="51"/>
      <c r="CC273" s="51"/>
      <c r="CD273" s="51"/>
      <c r="CE273" s="51"/>
      <c r="CF273" s="51"/>
      <c r="CG273" s="51"/>
    </row>
    <row r="274" ht="30.0"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c r="BA274" s="51"/>
      <c r="BB274" s="51"/>
      <c r="BC274" s="51"/>
      <c r="BD274" s="51"/>
      <c r="BE274" s="51"/>
      <c r="BF274" s="51"/>
      <c r="BG274" s="51"/>
      <c r="BH274" s="51"/>
      <c r="BI274" s="51"/>
      <c r="BJ274" s="51"/>
      <c r="BK274" s="51"/>
      <c r="BL274" s="51"/>
      <c r="BM274" s="51"/>
      <c r="BN274" s="51"/>
      <c r="BO274" s="51"/>
      <c r="BP274" s="51"/>
      <c r="BQ274" s="51"/>
      <c r="BR274" s="51"/>
      <c r="BS274" s="51"/>
      <c r="BT274" s="51"/>
      <c r="BU274" s="51"/>
      <c r="BV274" s="51"/>
      <c r="BW274" s="51"/>
      <c r="BX274" s="51"/>
      <c r="BY274" s="51"/>
      <c r="BZ274" s="51"/>
      <c r="CA274" s="51"/>
      <c r="CB274" s="51"/>
      <c r="CC274" s="51"/>
      <c r="CD274" s="51"/>
      <c r="CE274" s="51"/>
      <c r="CF274" s="51"/>
      <c r="CG274" s="51"/>
    </row>
    <row r="275" ht="30.0"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c r="BA275" s="51"/>
      <c r="BB275" s="51"/>
      <c r="BC275" s="51"/>
      <c r="BD275" s="51"/>
      <c r="BE275" s="51"/>
      <c r="BF275" s="51"/>
      <c r="BG275" s="51"/>
      <c r="BH275" s="51"/>
      <c r="BI275" s="51"/>
      <c r="BJ275" s="51"/>
      <c r="BK275" s="51"/>
      <c r="BL275" s="51"/>
      <c r="BM275" s="51"/>
      <c r="BN275" s="51"/>
      <c r="BO275" s="51"/>
      <c r="BP275" s="51"/>
      <c r="BQ275" s="51"/>
      <c r="BR275" s="51"/>
      <c r="BS275" s="51"/>
      <c r="BT275" s="51"/>
      <c r="BU275" s="51"/>
      <c r="BV275" s="51"/>
      <c r="BW275" s="51"/>
      <c r="BX275" s="51"/>
      <c r="BY275" s="51"/>
      <c r="BZ275" s="51"/>
      <c r="CA275" s="51"/>
      <c r="CB275" s="51"/>
      <c r="CC275" s="51"/>
      <c r="CD275" s="51"/>
      <c r="CE275" s="51"/>
      <c r="CF275" s="51"/>
      <c r="CG275" s="51"/>
    </row>
    <row r="276" ht="30.0"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c r="BA276" s="51"/>
      <c r="BB276" s="51"/>
      <c r="BC276" s="51"/>
      <c r="BD276" s="51"/>
      <c r="BE276" s="51"/>
      <c r="BF276" s="51"/>
      <c r="BG276" s="51"/>
      <c r="BH276" s="51"/>
      <c r="BI276" s="51"/>
      <c r="BJ276" s="51"/>
      <c r="BK276" s="51"/>
      <c r="BL276" s="51"/>
      <c r="BM276" s="51"/>
      <c r="BN276" s="51"/>
      <c r="BO276" s="51"/>
      <c r="BP276" s="51"/>
      <c r="BQ276" s="51"/>
      <c r="BR276" s="51"/>
      <c r="BS276" s="51"/>
      <c r="BT276" s="51"/>
      <c r="BU276" s="51"/>
      <c r="BV276" s="51"/>
      <c r="BW276" s="51"/>
      <c r="BX276" s="51"/>
      <c r="BY276" s="51"/>
      <c r="BZ276" s="51"/>
      <c r="CA276" s="51"/>
      <c r="CB276" s="51"/>
      <c r="CC276" s="51"/>
      <c r="CD276" s="51"/>
      <c r="CE276" s="51"/>
      <c r="CF276" s="51"/>
      <c r="CG276" s="51"/>
    </row>
    <row r="277" ht="30.0"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c r="BA277" s="51"/>
      <c r="BB277" s="51"/>
      <c r="BC277" s="51"/>
      <c r="BD277" s="51"/>
      <c r="BE277" s="51"/>
      <c r="BF277" s="51"/>
      <c r="BG277" s="51"/>
      <c r="BH277" s="51"/>
      <c r="BI277" s="51"/>
      <c r="BJ277" s="51"/>
      <c r="BK277" s="51"/>
      <c r="BL277" s="51"/>
      <c r="BM277" s="51"/>
      <c r="BN277" s="51"/>
      <c r="BO277" s="51"/>
      <c r="BP277" s="51"/>
      <c r="BQ277" s="51"/>
      <c r="BR277" s="51"/>
      <c r="BS277" s="51"/>
      <c r="BT277" s="51"/>
      <c r="BU277" s="51"/>
      <c r="BV277" s="51"/>
      <c r="BW277" s="51"/>
      <c r="BX277" s="51"/>
      <c r="BY277" s="51"/>
      <c r="BZ277" s="51"/>
      <c r="CA277" s="51"/>
      <c r="CB277" s="51"/>
      <c r="CC277" s="51"/>
      <c r="CD277" s="51"/>
      <c r="CE277" s="51"/>
      <c r="CF277" s="51"/>
      <c r="CG277" s="51"/>
    </row>
    <row r="278" ht="30.0"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c r="BA278" s="51"/>
      <c r="BB278" s="51"/>
      <c r="BC278" s="51"/>
      <c r="BD278" s="51"/>
      <c r="BE278" s="51"/>
      <c r="BF278" s="51"/>
      <c r="BG278" s="51"/>
      <c r="BH278" s="51"/>
      <c r="BI278" s="51"/>
      <c r="BJ278" s="51"/>
      <c r="BK278" s="51"/>
      <c r="BL278" s="51"/>
      <c r="BM278" s="51"/>
      <c r="BN278" s="51"/>
      <c r="BO278" s="51"/>
      <c r="BP278" s="51"/>
      <c r="BQ278" s="51"/>
      <c r="BR278" s="51"/>
      <c r="BS278" s="51"/>
      <c r="BT278" s="51"/>
      <c r="BU278" s="51"/>
      <c r="BV278" s="51"/>
      <c r="BW278" s="51"/>
      <c r="BX278" s="51"/>
      <c r="BY278" s="51"/>
      <c r="BZ278" s="51"/>
      <c r="CA278" s="51"/>
      <c r="CB278" s="51"/>
      <c r="CC278" s="51"/>
      <c r="CD278" s="51"/>
      <c r="CE278" s="51"/>
      <c r="CF278" s="51"/>
      <c r="CG278" s="51"/>
    </row>
    <row r="279" ht="30.0"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c r="BA279" s="51"/>
      <c r="BB279" s="51"/>
      <c r="BC279" s="51"/>
      <c r="BD279" s="51"/>
      <c r="BE279" s="51"/>
      <c r="BF279" s="51"/>
      <c r="BG279" s="51"/>
      <c r="BH279" s="51"/>
      <c r="BI279" s="51"/>
      <c r="BJ279" s="51"/>
      <c r="BK279" s="51"/>
      <c r="BL279" s="51"/>
      <c r="BM279" s="51"/>
      <c r="BN279" s="51"/>
      <c r="BO279" s="51"/>
      <c r="BP279" s="51"/>
      <c r="BQ279" s="51"/>
      <c r="BR279" s="51"/>
      <c r="BS279" s="51"/>
      <c r="BT279" s="51"/>
      <c r="BU279" s="51"/>
      <c r="BV279" s="51"/>
      <c r="BW279" s="51"/>
      <c r="BX279" s="51"/>
      <c r="BY279" s="51"/>
      <c r="BZ279" s="51"/>
      <c r="CA279" s="51"/>
      <c r="CB279" s="51"/>
      <c r="CC279" s="51"/>
      <c r="CD279" s="51"/>
      <c r="CE279" s="51"/>
      <c r="CF279" s="51"/>
      <c r="CG279" s="51"/>
    </row>
    <row r="280" ht="30.0"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c r="BA280" s="51"/>
      <c r="BB280" s="51"/>
      <c r="BC280" s="51"/>
      <c r="BD280" s="51"/>
      <c r="BE280" s="51"/>
      <c r="BF280" s="51"/>
      <c r="BG280" s="51"/>
      <c r="BH280" s="51"/>
      <c r="BI280" s="51"/>
      <c r="BJ280" s="51"/>
      <c r="BK280" s="51"/>
      <c r="BL280" s="51"/>
      <c r="BM280" s="51"/>
      <c r="BN280" s="51"/>
      <c r="BO280" s="51"/>
      <c r="BP280" s="51"/>
      <c r="BQ280" s="51"/>
      <c r="BR280" s="51"/>
      <c r="BS280" s="51"/>
      <c r="BT280" s="51"/>
      <c r="BU280" s="51"/>
      <c r="BV280" s="51"/>
      <c r="BW280" s="51"/>
      <c r="BX280" s="51"/>
      <c r="BY280" s="51"/>
      <c r="BZ280" s="51"/>
      <c r="CA280" s="51"/>
      <c r="CB280" s="51"/>
      <c r="CC280" s="51"/>
      <c r="CD280" s="51"/>
      <c r="CE280" s="51"/>
      <c r="CF280" s="51"/>
      <c r="CG280" s="51"/>
    </row>
    <row r="281" ht="30.0"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c r="BA281" s="51"/>
      <c r="BB281" s="51"/>
      <c r="BC281" s="51"/>
      <c r="BD281" s="51"/>
      <c r="BE281" s="51"/>
      <c r="BF281" s="51"/>
      <c r="BG281" s="51"/>
      <c r="BH281" s="51"/>
      <c r="BI281" s="51"/>
      <c r="BJ281" s="51"/>
      <c r="BK281" s="51"/>
      <c r="BL281" s="51"/>
      <c r="BM281" s="51"/>
      <c r="BN281" s="51"/>
      <c r="BO281" s="51"/>
      <c r="BP281" s="51"/>
      <c r="BQ281" s="51"/>
      <c r="BR281" s="51"/>
      <c r="BS281" s="51"/>
      <c r="BT281" s="51"/>
      <c r="BU281" s="51"/>
      <c r="BV281" s="51"/>
      <c r="BW281" s="51"/>
      <c r="BX281" s="51"/>
      <c r="BY281" s="51"/>
      <c r="BZ281" s="51"/>
      <c r="CA281" s="51"/>
      <c r="CB281" s="51"/>
      <c r="CC281" s="51"/>
      <c r="CD281" s="51"/>
      <c r="CE281" s="51"/>
      <c r="CF281" s="51"/>
      <c r="CG281" s="51"/>
    </row>
    <row r="282" ht="30.0"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c r="BA282" s="51"/>
      <c r="BB282" s="51"/>
      <c r="BC282" s="51"/>
      <c r="BD282" s="51"/>
      <c r="BE282" s="51"/>
      <c r="BF282" s="51"/>
      <c r="BG282" s="51"/>
      <c r="BH282" s="51"/>
      <c r="BI282" s="51"/>
      <c r="BJ282" s="51"/>
      <c r="BK282" s="51"/>
      <c r="BL282" s="51"/>
      <c r="BM282" s="51"/>
      <c r="BN282" s="51"/>
      <c r="BO282" s="51"/>
      <c r="BP282" s="51"/>
      <c r="BQ282" s="51"/>
      <c r="BR282" s="51"/>
      <c r="BS282" s="51"/>
      <c r="BT282" s="51"/>
      <c r="BU282" s="51"/>
      <c r="BV282" s="51"/>
      <c r="BW282" s="51"/>
      <c r="BX282" s="51"/>
      <c r="BY282" s="51"/>
      <c r="BZ282" s="51"/>
      <c r="CA282" s="51"/>
      <c r="CB282" s="51"/>
      <c r="CC282" s="51"/>
      <c r="CD282" s="51"/>
      <c r="CE282" s="51"/>
      <c r="CF282" s="51"/>
      <c r="CG282" s="51"/>
    </row>
    <row r="283" ht="30.0"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c r="BA283" s="51"/>
      <c r="BB283" s="51"/>
      <c r="BC283" s="51"/>
      <c r="BD283" s="51"/>
      <c r="BE283" s="51"/>
      <c r="BF283" s="51"/>
      <c r="BG283" s="51"/>
      <c r="BH283" s="51"/>
      <c r="BI283" s="51"/>
      <c r="BJ283" s="51"/>
      <c r="BK283" s="51"/>
      <c r="BL283" s="51"/>
      <c r="BM283" s="51"/>
      <c r="BN283" s="51"/>
      <c r="BO283" s="51"/>
      <c r="BP283" s="51"/>
      <c r="BQ283" s="51"/>
      <c r="BR283" s="51"/>
      <c r="BS283" s="51"/>
      <c r="BT283" s="51"/>
      <c r="BU283" s="51"/>
      <c r="BV283" s="51"/>
      <c r="BW283" s="51"/>
      <c r="BX283" s="51"/>
      <c r="BY283" s="51"/>
      <c r="BZ283" s="51"/>
      <c r="CA283" s="51"/>
      <c r="CB283" s="51"/>
      <c r="CC283" s="51"/>
      <c r="CD283" s="51"/>
      <c r="CE283" s="51"/>
      <c r="CF283" s="51"/>
      <c r="CG283" s="51"/>
    </row>
    <row r="284" ht="30.0"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c r="BA284" s="51"/>
      <c r="BB284" s="51"/>
      <c r="BC284" s="51"/>
      <c r="BD284" s="51"/>
      <c r="BE284" s="51"/>
      <c r="BF284" s="51"/>
      <c r="BG284" s="51"/>
      <c r="BH284" s="51"/>
      <c r="BI284" s="51"/>
      <c r="BJ284" s="51"/>
      <c r="BK284" s="51"/>
      <c r="BL284" s="51"/>
      <c r="BM284" s="51"/>
      <c r="BN284" s="51"/>
      <c r="BO284" s="51"/>
      <c r="BP284" s="51"/>
      <c r="BQ284" s="51"/>
      <c r="BR284" s="51"/>
      <c r="BS284" s="51"/>
      <c r="BT284" s="51"/>
      <c r="BU284" s="51"/>
      <c r="BV284" s="51"/>
      <c r="BW284" s="51"/>
      <c r="BX284" s="51"/>
      <c r="BY284" s="51"/>
      <c r="BZ284" s="51"/>
      <c r="CA284" s="51"/>
      <c r="CB284" s="51"/>
      <c r="CC284" s="51"/>
      <c r="CD284" s="51"/>
      <c r="CE284" s="51"/>
      <c r="CF284" s="51"/>
      <c r="CG284" s="51"/>
    </row>
    <row r="285" ht="30.0"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c r="BA285" s="51"/>
      <c r="BB285" s="51"/>
      <c r="BC285" s="51"/>
      <c r="BD285" s="51"/>
      <c r="BE285" s="51"/>
      <c r="BF285" s="51"/>
      <c r="BG285" s="51"/>
      <c r="BH285" s="51"/>
      <c r="BI285" s="51"/>
      <c r="BJ285" s="51"/>
      <c r="BK285" s="51"/>
      <c r="BL285" s="51"/>
      <c r="BM285" s="51"/>
      <c r="BN285" s="51"/>
      <c r="BO285" s="51"/>
      <c r="BP285" s="51"/>
      <c r="BQ285" s="51"/>
      <c r="BR285" s="51"/>
      <c r="BS285" s="51"/>
      <c r="BT285" s="51"/>
      <c r="BU285" s="51"/>
      <c r="BV285" s="51"/>
      <c r="BW285" s="51"/>
      <c r="BX285" s="51"/>
      <c r="BY285" s="51"/>
      <c r="BZ285" s="51"/>
      <c r="CA285" s="51"/>
      <c r="CB285" s="51"/>
      <c r="CC285" s="51"/>
      <c r="CD285" s="51"/>
      <c r="CE285" s="51"/>
      <c r="CF285" s="51"/>
      <c r="CG285" s="51"/>
    </row>
    <row r="286" ht="30.0"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c r="BA286" s="51"/>
      <c r="BB286" s="51"/>
      <c r="BC286" s="51"/>
      <c r="BD286" s="51"/>
      <c r="BE286" s="51"/>
      <c r="BF286" s="51"/>
      <c r="BG286" s="51"/>
      <c r="BH286" s="51"/>
      <c r="BI286" s="51"/>
      <c r="BJ286" s="51"/>
      <c r="BK286" s="51"/>
      <c r="BL286" s="51"/>
      <c r="BM286" s="51"/>
      <c r="BN286" s="51"/>
      <c r="BO286" s="51"/>
      <c r="BP286" s="51"/>
      <c r="BQ286" s="51"/>
      <c r="BR286" s="51"/>
      <c r="BS286" s="51"/>
      <c r="BT286" s="51"/>
      <c r="BU286" s="51"/>
      <c r="BV286" s="51"/>
      <c r="BW286" s="51"/>
      <c r="BX286" s="51"/>
      <c r="BY286" s="51"/>
      <c r="BZ286" s="51"/>
      <c r="CA286" s="51"/>
      <c r="CB286" s="51"/>
      <c r="CC286" s="51"/>
      <c r="CD286" s="51"/>
      <c r="CE286" s="51"/>
      <c r="CF286" s="51"/>
      <c r="CG286" s="51"/>
    </row>
    <row r="287" ht="30.0"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c r="BA287" s="51"/>
      <c r="BB287" s="51"/>
      <c r="BC287" s="51"/>
      <c r="BD287" s="51"/>
      <c r="BE287" s="51"/>
      <c r="BF287" s="51"/>
      <c r="BG287" s="51"/>
      <c r="BH287" s="51"/>
      <c r="BI287" s="51"/>
      <c r="BJ287" s="51"/>
      <c r="BK287" s="51"/>
      <c r="BL287" s="51"/>
      <c r="BM287" s="51"/>
      <c r="BN287" s="51"/>
      <c r="BO287" s="51"/>
      <c r="BP287" s="51"/>
      <c r="BQ287" s="51"/>
      <c r="BR287" s="51"/>
      <c r="BS287" s="51"/>
      <c r="BT287" s="51"/>
      <c r="BU287" s="51"/>
      <c r="BV287" s="51"/>
      <c r="BW287" s="51"/>
      <c r="BX287" s="51"/>
      <c r="BY287" s="51"/>
      <c r="BZ287" s="51"/>
      <c r="CA287" s="51"/>
      <c r="CB287" s="51"/>
      <c r="CC287" s="51"/>
      <c r="CD287" s="51"/>
      <c r="CE287" s="51"/>
      <c r="CF287" s="51"/>
      <c r="CG287" s="51"/>
    </row>
    <row r="288" ht="30.0"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c r="BA288" s="51"/>
      <c r="BB288" s="51"/>
      <c r="BC288" s="51"/>
      <c r="BD288" s="51"/>
      <c r="BE288" s="51"/>
      <c r="BF288" s="51"/>
      <c r="BG288" s="51"/>
      <c r="BH288" s="51"/>
      <c r="BI288" s="51"/>
      <c r="BJ288" s="51"/>
      <c r="BK288" s="51"/>
      <c r="BL288" s="51"/>
      <c r="BM288" s="51"/>
      <c r="BN288" s="51"/>
      <c r="BO288" s="51"/>
      <c r="BP288" s="51"/>
      <c r="BQ288" s="51"/>
      <c r="BR288" s="51"/>
      <c r="BS288" s="51"/>
      <c r="BT288" s="51"/>
      <c r="BU288" s="51"/>
      <c r="BV288" s="51"/>
      <c r="BW288" s="51"/>
      <c r="BX288" s="51"/>
      <c r="BY288" s="51"/>
      <c r="BZ288" s="51"/>
      <c r="CA288" s="51"/>
      <c r="CB288" s="51"/>
      <c r="CC288" s="51"/>
      <c r="CD288" s="51"/>
      <c r="CE288" s="51"/>
      <c r="CF288" s="51"/>
      <c r="CG288" s="51"/>
    </row>
    <row r="289" ht="30.0"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c r="BA289" s="51"/>
      <c r="BB289" s="51"/>
      <c r="BC289" s="51"/>
      <c r="BD289" s="51"/>
      <c r="BE289" s="51"/>
      <c r="BF289" s="51"/>
      <c r="BG289" s="51"/>
      <c r="BH289" s="51"/>
      <c r="BI289" s="51"/>
      <c r="BJ289" s="51"/>
      <c r="BK289" s="51"/>
      <c r="BL289" s="51"/>
      <c r="BM289" s="51"/>
      <c r="BN289" s="51"/>
      <c r="BO289" s="51"/>
      <c r="BP289" s="51"/>
      <c r="BQ289" s="51"/>
      <c r="BR289" s="51"/>
      <c r="BS289" s="51"/>
      <c r="BT289" s="51"/>
      <c r="BU289" s="51"/>
      <c r="BV289" s="51"/>
      <c r="BW289" s="51"/>
      <c r="BX289" s="51"/>
      <c r="BY289" s="51"/>
      <c r="BZ289" s="51"/>
      <c r="CA289" s="51"/>
      <c r="CB289" s="51"/>
      <c r="CC289" s="51"/>
      <c r="CD289" s="51"/>
      <c r="CE289" s="51"/>
      <c r="CF289" s="51"/>
      <c r="CG289" s="51"/>
    </row>
    <row r="290" ht="30.0"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c r="BA290" s="51"/>
      <c r="BB290" s="51"/>
      <c r="BC290" s="51"/>
      <c r="BD290" s="51"/>
      <c r="BE290" s="51"/>
      <c r="BF290" s="51"/>
      <c r="BG290" s="51"/>
      <c r="BH290" s="51"/>
      <c r="BI290" s="51"/>
      <c r="BJ290" s="51"/>
      <c r="BK290" s="51"/>
      <c r="BL290" s="51"/>
      <c r="BM290" s="51"/>
      <c r="BN290" s="51"/>
      <c r="BO290" s="51"/>
      <c r="BP290" s="51"/>
      <c r="BQ290" s="51"/>
      <c r="BR290" s="51"/>
      <c r="BS290" s="51"/>
      <c r="BT290" s="51"/>
      <c r="BU290" s="51"/>
      <c r="BV290" s="51"/>
      <c r="BW290" s="51"/>
      <c r="BX290" s="51"/>
      <c r="BY290" s="51"/>
      <c r="BZ290" s="51"/>
      <c r="CA290" s="51"/>
      <c r="CB290" s="51"/>
      <c r="CC290" s="51"/>
      <c r="CD290" s="51"/>
      <c r="CE290" s="51"/>
      <c r="CF290" s="51"/>
      <c r="CG290" s="51"/>
    </row>
    <row r="291" ht="30.0"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c r="BA291" s="51"/>
      <c r="BB291" s="51"/>
      <c r="BC291" s="51"/>
      <c r="BD291" s="51"/>
      <c r="BE291" s="51"/>
      <c r="BF291" s="51"/>
      <c r="BG291" s="51"/>
      <c r="BH291" s="51"/>
      <c r="BI291" s="51"/>
      <c r="BJ291" s="51"/>
      <c r="BK291" s="51"/>
      <c r="BL291" s="51"/>
      <c r="BM291" s="51"/>
      <c r="BN291" s="51"/>
      <c r="BO291" s="51"/>
      <c r="BP291" s="51"/>
      <c r="BQ291" s="51"/>
      <c r="BR291" s="51"/>
      <c r="BS291" s="51"/>
      <c r="BT291" s="51"/>
      <c r="BU291" s="51"/>
      <c r="BV291" s="51"/>
      <c r="BW291" s="51"/>
      <c r="BX291" s="51"/>
      <c r="BY291" s="51"/>
      <c r="BZ291" s="51"/>
      <c r="CA291" s="51"/>
      <c r="CB291" s="51"/>
      <c r="CC291" s="51"/>
      <c r="CD291" s="51"/>
      <c r="CE291" s="51"/>
      <c r="CF291" s="51"/>
      <c r="CG291" s="51"/>
    </row>
    <row r="292" ht="30.0"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c r="BA292" s="51"/>
      <c r="BB292" s="51"/>
      <c r="BC292" s="51"/>
      <c r="BD292" s="51"/>
      <c r="BE292" s="51"/>
      <c r="BF292" s="51"/>
      <c r="BG292" s="51"/>
      <c r="BH292" s="51"/>
      <c r="BI292" s="51"/>
      <c r="BJ292" s="51"/>
      <c r="BK292" s="51"/>
      <c r="BL292" s="51"/>
      <c r="BM292" s="51"/>
      <c r="BN292" s="51"/>
      <c r="BO292" s="51"/>
      <c r="BP292" s="51"/>
      <c r="BQ292" s="51"/>
      <c r="BR292" s="51"/>
      <c r="BS292" s="51"/>
      <c r="BT292" s="51"/>
      <c r="BU292" s="51"/>
      <c r="BV292" s="51"/>
      <c r="BW292" s="51"/>
      <c r="BX292" s="51"/>
      <c r="BY292" s="51"/>
      <c r="BZ292" s="51"/>
      <c r="CA292" s="51"/>
      <c r="CB292" s="51"/>
      <c r="CC292" s="51"/>
      <c r="CD292" s="51"/>
      <c r="CE292" s="51"/>
      <c r="CF292" s="51"/>
      <c r="CG292" s="51"/>
    </row>
    <row r="293" ht="30.0"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c r="BA293" s="51"/>
      <c r="BB293" s="51"/>
      <c r="BC293" s="51"/>
      <c r="BD293" s="51"/>
      <c r="BE293" s="51"/>
      <c r="BF293" s="51"/>
      <c r="BG293" s="51"/>
      <c r="BH293" s="51"/>
      <c r="BI293" s="51"/>
      <c r="BJ293" s="51"/>
      <c r="BK293" s="51"/>
      <c r="BL293" s="51"/>
      <c r="BM293" s="51"/>
      <c r="BN293" s="51"/>
      <c r="BO293" s="51"/>
      <c r="BP293" s="51"/>
      <c r="BQ293" s="51"/>
      <c r="BR293" s="51"/>
      <c r="BS293" s="51"/>
      <c r="BT293" s="51"/>
      <c r="BU293" s="51"/>
      <c r="BV293" s="51"/>
      <c r="BW293" s="51"/>
      <c r="BX293" s="51"/>
      <c r="BY293" s="51"/>
      <c r="BZ293" s="51"/>
      <c r="CA293" s="51"/>
      <c r="CB293" s="51"/>
      <c r="CC293" s="51"/>
      <c r="CD293" s="51"/>
      <c r="CE293" s="51"/>
      <c r="CF293" s="51"/>
      <c r="CG293" s="51"/>
    </row>
    <row r="294" ht="30.0"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c r="BA294" s="51"/>
      <c r="BB294" s="51"/>
      <c r="BC294" s="51"/>
      <c r="BD294" s="51"/>
      <c r="BE294" s="51"/>
      <c r="BF294" s="51"/>
      <c r="BG294" s="51"/>
      <c r="BH294" s="51"/>
      <c r="BI294" s="51"/>
      <c r="BJ294" s="51"/>
      <c r="BK294" s="51"/>
      <c r="BL294" s="51"/>
      <c r="BM294" s="51"/>
      <c r="BN294" s="51"/>
      <c r="BO294" s="51"/>
      <c r="BP294" s="51"/>
      <c r="BQ294" s="51"/>
      <c r="BR294" s="51"/>
      <c r="BS294" s="51"/>
      <c r="BT294" s="51"/>
      <c r="BU294" s="51"/>
      <c r="BV294" s="51"/>
      <c r="BW294" s="51"/>
      <c r="BX294" s="51"/>
      <c r="BY294" s="51"/>
      <c r="BZ294" s="51"/>
      <c r="CA294" s="51"/>
      <c r="CB294" s="51"/>
      <c r="CC294" s="51"/>
      <c r="CD294" s="51"/>
      <c r="CE294" s="51"/>
      <c r="CF294" s="51"/>
      <c r="CG294" s="51"/>
    </row>
    <row r="295" ht="30.0"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c r="BA295" s="51"/>
      <c r="BB295" s="51"/>
      <c r="BC295" s="51"/>
      <c r="BD295" s="51"/>
      <c r="BE295" s="51"/>
      <c r="BF295" s="51"/>
      <c r="BG295" s="51"/>
      <c r="BH295" s="51"/>
      <c r="BI295" s="51"/>
      <c r="BJ295" s="51"/>
      <c r="BK295" s="51"/>
      <c r="BL295" s="51"/>
      <c r="BM295" s="51"/>
      <c r="BN295" s="51"/>
      <c r="BO295" s="51"/>
      <c r="BP295" s="51"/>
      <c r="BQ295" s="51"/>
      <c r="BR295" s="51"/>
      <c r="BS295" s="51"/>
      <c r="BT295" s="51"/>
      <c r="BU295" s="51"/>
      <c r="BV295" s="51"/>
      <c r="BW295" s="51"/>
      <c r="BX295" s="51"/>
      <c r="BY295" s="51"/>
      <c r="BZ295" s="51"/>
      <c r="CA295" s="51"/>
      <c r="CB295" s="51"/>
      <c r="CC295" s="51"/>
      <c r="CD295" s="51"/>
      <c r="CE295" s="51"/>
      <c r="CF295" s="51"/>
      <c r="CG295" s="51"/>
    </row>
    <row r="296" ht="30.0"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c r="BA296" s="51"/>
      <c r="BB296" s="51"/>
      <c r="BC296" s="51"/>
      <c r="BD296" s="51"/>
      <c r="BE296" s="51"/>
      <c r="BF296" s="51"/>
      <c r="BG296" s="51"/>
      <c r="BH296" s="51"/>
      <c r="BI296" s="51"/>
      <c r="BJ296" s="51"/>
      <c r="BK296" s="51"/>
      <c r="BL296" s="51"/>
      <c r="BM296" s="51"/>
      <c r="BN296" s="51"/>
      <c r="BO296" s="51"/>
      <c r="BP296" s="51"/>
      <c r="BQ296" s="51"/>
      <c r="BR296" s="51"/>
      <c r="BS296" s="51"/>
      <c r="BT296" s="51"/>
      <c r="BU296" s="51"/>
      <c r="BV296" s="51"/>
      <c r="BW296" s="51"/>
      <c r="BX296" s="51"/>
      <c r="BY296" s="51"/>
      <c r="BZ296" s="51"/>
      <c r="CA296" s="51"/>
      <c r="CB296" s="51"/>
      <c r="CC296" s="51"/>
      <c r="CD296" s="51"/>
      <c r="CE296" s="51"/>
      <c r="CF296" s="51"/>
      <c r="CG296" s="51"/>
    </row>
    <row r="297" ht="30.0"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c r="BA297" s="51"/>
      <c r="BB297" s="51"/>
      <c r="BC297" s="51"/>
      <c r="BD297" s="51"/>
      <c r="BE297" s="51"/>
      <c r="BF297" s="51"/>
      <c r="BG297" s="51"/>
      <c r="BH297" s="51"/>
      <c r="BI297" s="51"/>
      <c r="BJ297" s="51"/>
      <c r="BK297" s="51"/>
      <c r="BL297" s="51"/>
      <c r="BM297" s="51"/>
      <c r="BN297" s="51"/>
      <c r="BO297" s="51"/>
      <c r="BP297" s="51"/>
      <c r="BQ297" s="51"/>
      <c r="BR297" s="51"/>
      <c r="BS297" s="51"/>
      <c r="BT297" s="51"/>
      <c r="BU297" s="51"/>
      <c r="BV297" s="51"/>
      <c r="BW297" s="51"/>
      <c r="BX297" s="51"/>
      <c r="BY297" s="51"/>
      <c r="BZ297" s="51"/>
      <c r="CA297" s="51"/>
      <c r="CB297" s="51"/>
      <c r="CC297" s="51"/>
      <c r="CD297" s="51"/>
      <c r="CE297" s="51"/>
      <c r="CF297" s="51"/>
      <c r="CG297" s="51"/>
    </row>
    <row r="298" ht="30.0"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c r="BA298" s="51"/>
      <c r="BB298" s="51"/>
      <c r="BC298" s="51"/>
      <c r="BD298" s="51"/>
      <c r="BE298" s="51"/>
      <c r="BF298" s="51"/>
      <c r="BG298" s="51"/>
      <c r="BH298" s="51"/>
      <c r="BI298" s="51"/>
      <c r="BJ298" s="51"/>
      <c r="BK298" s="51"/>
      <c r="BL298" s="51"/>
      <c r="BM298" s="51"/>
      <c r="BN298" s="51"/>
      <c r="BO298" s="51"/>
      <c r="BP298" s="51"/>
      <c r="BQ298" s="51"/>
      <c r="BR298" s="51"/>
      <c r="BS298" s="51"/>
      <c r="BT298" s="51"/>
      <c r="BU298" s="51"/>
      <c r="BV298" s="51"/>
      <c r="BW298" s="51"/>
      <c r="BX298" s="51"/>
      <c r="BY298" s="51"/>
      <c r="BZ298" s="51"/>
      <c r="CA298" s="51"/>
      <c r="CB298" s="51"/>
      <c r="CC298" s="51"/>
      <c r="CD298" s="51"/>
      <c r="CE298" s="51"/>
      <c r="CF298" s="51"/>
      <c r="CG298" s="51"/>
    </row>
    <row r="299" ht="30.0"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c r="BA299" s="51"/>
      <c r="BB299" s="51"/>
      <c r="BC299" s="51"/>
      <c r="BD299" s="51"/>
      <c r="BE299" s="51"/>
      <c r="BF299" s="51"/>
      <c r="BG299" s="51"/>
      <c r="BH299" s="51"/>
      <c r="BI299" s="51"/>
      <c r="BJ299" s="51"/>
      <c r="BK299" s="51"/>
      <c r="BL299" s="51"/>
      <c r="BM299" s="51"/>
      <c r="BN299" s="51"/>
      <c r="BO299" s="51"/>
      <c r="BP299" s="51"/>
      <c r="BQ299" s="51"/>
      <c r="BR299" s="51"/>
      <c r="BS299" s="51"/>
      <c r="BT299" s="51"/>
      <c r="BU299" s="51"/>
      <c r="BV299" s="51"/>
      <c r="BW299" s="51"/>
      <c r="BX299" s="51"/>
      <c r="BY299" s="51"/>
      <c r="BZ299" s="51"/>
      <c r="CA299" s="51"/>
      <c r="CB299" s="51"/>
      <c r="CC299" s="51"/>
      <c r="CD299" s="51"/>
      <c r="CE299" s="51"/>
      <c r="CF299" s="51"/>
      <c r="CG299" s="51"/>
    </row>
    <row r="300" ht="30.0"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c r="BA300" s="51"/>
      <c r="BB300" s="51"/>
      <c r="BC300" s="51"/>
      <c r="BD300" s="51"/>
      <c r="BE300" s="51"/>
      <c r="BF300" s="51"/>
      <c r="BG300" s="51"/>
      <c r="BH300" s="51"/>
      <c r="BI300" s="51"/>
      <c r="BJ300" s="51"/>
      <c r="BK300" s="51"/>
      <c r="BL300" s="51"/>
      <c r="BM300" s="51"/>
      <c r="BN300" s="51"/>
      <c r="BO300" s="51"/>
      <c r="BP300" s="51"/>
      <c r="BQ300" s="51"/>
      <c r="BR300" s="51"/>
      <c r="BS300" s="51"/>
      <c r="BT300" s="51"/>
      <c r="BU300" s="51"/>
      <c r="BV300" s="51"/>
      <c r="BW300" s="51"/>
      <c r="BX300" s="51"/>
      <c r="BY300" s="51"/>
      <c r="BZ300" s="51"/>
      <c r="CA300" s="51"/>
      <c r="CB300" s="51"/>
      <c r="CC300" s="51"/>
      <c r="CD300" s="51"/>
      <c r="CE300" s="51"/>
      <c r="CF300" s="51"/>
      <c r="CG300" s="51"/>
    </row>
    <row r="301" ht="30.0"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c r="BA301" s="51"/>
      <c r="BB301" s="51"/>
      <c r="BC301" s="51"/>
      <c r="BD301" s="51"/>
      <c r="BE301" s="51"/>
      <c r="BF301" s="51"/>
      <c r="BG301" s="51"/>
      <c r="BH301" s="51"/>
      <c r="BI301" s="51"/>
      <c r="BJ301" s="51"/>
      <c r="BK301" s="51"/>
      <c r="BL301" s="51"/>
      <c r="BM301" s="51"/>
      <c r="BN301" s="51"/>
      <c r="BO301" s="51"/>
      <c r="BP301" s="51"/>
      <c r="BQ301" s="51"/>
      <c r="BR301" s="51"/>
      <c r="BS301" s="51"/>
      <c r="BT301" s="51"/>
      <c r="BU301" s="51"/>
      <c r="BV301" s="51"/>
      <c r="BW301" s="51"/>
      <c r="BX301" s="51"/>
      <c r="BY301" s="51"/>
      <c r="BZ301" s="51"/>
      <c r="CA301" s="51"/>
      <c r="CB301" s="51"/>
      <c r="CC301" s="51"/>
      <c r="CD301" s="51"/>
      <c r="CE301" s="51"/>
      <c r="CF301" s="51"/>
      <c r="CG301" s="51"/>
    </row>
    <row r="302" ht="30.0"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c r="BA302" s="51"/>
      <c r="BB302" s="51"/>
      <c r="BC302" s="51"/>
      <c r="BD302" s="51"/>
      <c r="BE302" s="51"/>
      <c r="BF302" s="51"/>
      <c r="BG302" s="51"/>
      <c r="BH302" s="51"/>
      <c r="BI302" s="51"/>
      <c r="BJ302" s="51"/>
      <c r="BK302" s="51"/>
      <c r="BL302" s="51"/>
      <c r="BM302" s="51"/>
      <c r="BN302" s="51"/>
      <c r="BO302" s="51"/>
      <c r="BP302" s="51"/>
      <c r="BQ302" s="51"/>
      <c r="BR302" s="51"/>
      <c r="BS302" s="51"/>
      <c r="BT302" s="51"/>
      <c r="BU302" s="51"/>
      <c r="BV302" s="51"/>
      <c r="BW302" s="51"/>
      <c r="BX302" s="51"/>
      <c r="BY302" s="51"/>
      <c r="BZ302" s="51"/>
      <c r="CA302" s="51"/>
      <c r="CB302" s="51"/>
      <c r="CC302" s="51"/>
      <c r="CD302" s="51"/>
      <c r="CE302" s="51"/>
      <c r="CF302" s="51"/>
      <c r="CG302" s="51"/>
    </row>
    <row r="303" ht="30.0"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c r="BA303" s="51"/>
      <c r="BB303" s="51"/>
      <c r="BC303" s="51"/>
      <c r="BD303" s="51"/>
      <c r="BE303" s="51"/>
      <c r="BF303" s="51"/>
      <c r="BG303" s="51"/>
      <c r="BH303" s="51"/>
      <c r="BI303" s="51"/>
      <c r="BJ303" s="51"/>
      <c r="BK303" s="51"/>
      <c r="BL303" s="51"/>
      <c r="BM303" s="51"/>
      <c r="BN303" s="51"/>
      <c r="BO303" s="51"/>
      <c r="BP303" s="51"/>
      <c r="BQ303" s="51"/>
      <c r="BR303" s="51"/>
      <c r="BS303" s="51"/>
      <c r="BT303" s="51"/>
      <c r="BU303" s="51"/>
      <c r="BV303" s="51"/>
      <c r="BW303" s="51"/>
      <c r="BX303" s="51"/>
      <c r="BY303" s="51"/>
      <c r="BZ303" s="51"/>
      <c r="CA303" s="51"/>
      <c r="CB303" s="51"/>
      <c r="CC303" s="51"/>
      <c r="CD303" s="51"/>
      <c r="CE303" s="51"/>
      <c r="CF303" s="51"/>
      <c r="CG303" s="51"/>
    </row>
    <row r="304" ht="30.0"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c r="BA304" s="51"/>
      <c r="BB304" s="51"/>
      <c r="BC304" s="51"/>
      <c r="BD304" s="51"/>
      <c r="BE304" s="51"/>
      <c r="BF304" s="51"/>
      <c r="BG304" s="51"/>
      <c r="BH304" s="51"/>
      <c r="BI304" s="51"/>
      <c r="BJ304" s="51"/>
      <c r="BK304" s="51"/>
      <c r="BL304" s="51"/>
      <c r="BM304" s="51"/>
      <c r="BN304" s="51"/>
      <c r="BO304" s="51"/>
      <c r="BP304" s="51"/>
      <c r="BQ304" s="51"/>
      <c r="BR304" s="51"/>
      <c r="BS304" s="51"/>
      <c r="BT304" s="51"/>
      <c r="BU304" s="51"/>
      <c r="BV304" s="51"/>
      <c r="BW304" s="51"/>
      <c r="BX304" s="51"/>
      <c r="BY304" s="51"/>
      <c r="BZ304" s="51"/>
      <c r="CA304" s="51"/>
      <c r="CB304" s="51"/>
      <c r="CC304" s="51"/>
      <c r="CD304" s="51"/>
      <c r="CE304" s="51"/>
      <c r="CF304" s="51"/>
      <c r="CG304" s="51"/>
    </row>
    <row r="305" ht="30.0"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c r="BA305" s="51"/>
      <c r="BB305" s="51"/>
      <c r="BC305" s="51"/>
      <c r="BD305" s="51"/>
      <c r="BE305" s="51"/>
      <c r="BF305" s="51"/>
      <c r="BG305" s="51"/>
      <c r="BH305" s="51"/>
      <c r="BI305" s="51"/>
      <c r="BJ305" s="51"/>
      <c r="BK305" s="51"/>
      <c r="BL305" s="51"/>
      <c r="BM305" s="51"/>
      <c r="BN305" s="51"/>
      <c r="BO305" s="51"/>
      <c r="BP305" s="51"/>
      <c r="BQ305" s="51"/>
      <c r="BR305" s="51"/>
      <c r="BS305" s="51"/>
      <c r="BT305" s="51"/>
      <c r="BU305" s="51"/>
      <c r="BV305" s="51"/>
      <c r="BW305" s="51"/>
      <c r="BX305" s="51"/>
      <c r="BY305" s="51"/>
      <c r="BZ305" s="51"/>
      <c r="CA305" s="51"/>
      <c r="CB305" s="51"/>
      <c r="CC305" s="51"/>
      <c r="CD305" s="51"/>
      <c r="CE305" s="51"/>
      <c r="CF305" s="51"/>
      <c r="CG305" s="51"/>
    </row>
    <row r="306" ht="30.0"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c r="BA306" s="51"/>
      <c r="BB306" s="51"/>
      <c r="BC306" s="51"/>
      <c r="BD306" s="51"/>
      <c r="BE306" s="51"/>
      <c r="BF306" s="51"/>
      <c r="BG306" s="51"/>
      <c r="BH306" s="51"/>
      <c r="BI306" s="51"/>
      <c r="BJ306" s="51"/>
      <c r="BK306" s="51"/>
      <c r="BL306" s="51"/>
      <c r="BM306" s="51"/>
      <c r="BN306" s="51"/>
      <c r="BO306" s="51"/>
      <c r="BP306" s="51"/>
      <c r="BQ306" s="51"/>
      <c r="BR306" s="51"/>
      <c r="BS306" s="51"/>
      <c r="BT306" s="51"/>
      <c r="BU306" s="51"/>
      <c r="BV306" s="51"/>
      <c r="BW306" s="51"/>
      <c r="BX306" s="51"/>
      <c r="BY306" s="51"/>
      <c r="BZ306" s="51"/>
      <c r="CA306" s="51"/>
      <c r="CB306" s="51"/>
      <c r="CC306" s="51"/>
      <c r="CD306" s="51"/>
      <c r="CE306" s="51"/>
      <c r="CF306" s="51"/>
      <c r="CG306" s="51"/>
    </row>
    <row r="307" ht="30.0"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c r="BA307" s="51"/>
      <c r="BB307" s="51"/>
      <c r="BC307" s="51"/>
      <c r="BD307" s="51"/>
      <c r="BE307" s="51"/>
      <c r="BF307" s="51"/>
      <c r="BG307" s="51"/>
      <c r="BH307" s="51"/>
      <c r="BI307" s="51"/>
      <c r="BJ307" s="51"/>
      <c r="BK307" s="51"/>
      <c r="BL307" s="51"/>
      <c r="BM307" s="51"/>
      <c r="BN307" s="51"/>
      <c r="BO307" s="51"/>
      <c r="BP307" s="51"/>
      <c r="BQ307" s="51"/>
      <c r="BR307" s="51"/>
      <c r="BS307" s="51"/>
      <c r="BT307" s="51"/>
      <c r="BU307" s="51"/>
      <c r="BV307" s="51"/>
      <c r="BW307" s="51"/>
      <c r="BX307" s="51"/>
      <c r="BY307" s="51"/>
      <c r="BZ307" s="51"/>
      <c r="CA307" s="51"/>
      <c r="CB307" s="51"/>
      <c r="CC307" s="51"/>
      <c r="CD307" s="51"/>
      <c r="CE307" s="51"/>
      <c r="CF307" s="51"/>
      <c r="CG307" s="51"/>
    </row>
    <row r="308" ht="30.0"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c r="BA308" s="51"/>
      <c r="BB308" s="51"/>
      <c r="BC308" s="51"/>
      <c r="BD308" s="51"/>
      <c r="BE308" s="51"/>
      <c r="BF308" s="51"/>
      <c r="BG308" s="51"/>
      <c r="BH308" s="51"/>
      <c r="BI308" s="51"/>
      <c r="BJ308" s="51"/>
      <c r="BK308" s="51"/>
      <c r="BL308" s="51"/>
      <c r="BM308" s="51"/>
      <c r="BN308" s="51"/>
      <c r="BO308" s="51"/>
      <c r="BP308" s="51"/>
      <c r="BQ308" s="51"/>
      <c r="BR308" s="51"/>
      <c r="BS308" s="51"/>
      <c r="BT308" s="51"/>
      <c r="BU308" s="51"/>
      <c r="BV308" s="51"/>
      <c r="BW308" s="51"/>
      <c r="BX308" s="51"/>
      <c r="BY308" s="51"/>
      <c r="BZ308" s="51"/>
      <c r="CA308" s="51"/>
      <c r="CB308" s="51"/>
      <c r="CC308" s="51"/>
      <c r="CD308" s="51"/>
      <c r="CE308" s="51"/>
      <c r="CF308" s="51"/>
      <c r="CG308" s="51"/>
    </row>
    <row r="309" ht="30.0"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c r="BA309" s="51"/>
      <c r="BB309" s="51"/>
      <c r="BC309" s="51"/>
      <c r="BD309" s="51"/>
      <c r="BE309" s="51"/>
      <c r="BF309" s="51"/>
      <c r="BG309" s="51"/>
      <c r="BH309" s="51"/>
      <c r="BI309" s="51"/>
      <c r="BJ309" s="51"/>
      <c r="BK309" s="51"/>
      <c r="BL309" s="51"/>
      <c r="BM309" s="51"/>
      <c r="BN309" s="51"/>
      <c r="BO309" s="51"/>
      <c r="BP309" s="51"/>
      <c r="BQ309" s="51"/>
      <c r="BR309" s="51"/>
      <c r="BS309" s="51"/>
      <c r="BT309" s="51"/>
      <c r="BU309" s="51"/>
      <c r="BV309" s="51"/>
      <c r="BW309" s="51"/>
      <c r="BX309" s="51"/>
      <c r="BY309" s="51"/>
      <c r="BZ309" s="51"/>
      <c r="CA309" s="51"/>
      <c r="CB309" s="51"/>
      <c r="CC309" s="51"/>
      <c r="CD309" s="51"/>
      <c r="CE309" s="51"/>
      <c r="CF309" s="51"/>
      <c r="CG309" s="51"/>
    </row>
    <row r="310" ht="30.0"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c r="BA310" s="51"/>
      <c r="BB310" s="51"/>
      <c r="BC310" s="51"/>
      <c r="BD310" s="51"/>
      <c r="BE310" s="51"/>
      <c r="BF310" s="51"/>
      <c r="BG310" s="51"/>
      <c r="BH310" s="51"/>
      <c r="BI310" s="51"/>
      <c r="BJ310" s="51"/>
      <c r="BK310" s="51"/>
      <c r="BL310" s="51"/>
      <c r="BM310" s="51"/>
      <c r="BN310" s="51"/>
      <c r="BO310" s="51"/>
      <c r="BP310" s="51"/>
      <c r="BQ310" s="51"/>
      <c r="BR310" s="51"/>
      <c r="BS310" s="51"/>
      <c r="BT310" s="51"/>
      <c r="BU310" s="51"/>
      <c r="BV310" s="51"/>
      <c r="BW310" s="51"/>
      <c r="BX310" s="51"/>
      <c r="BY310" s="51"/>
      <c r="BZ310" s="51"/>
      <c r="CA310" s="51"/>
      <c r="CB310" s="51"/>
      <c r="CC310" s="51"/>
      <c r="CD310" s="51"/>
      <c r="CE310" s="51"/>
      <c r="CF310" s="51"/>
      <c r="CG310" s="51"/>
    </row>
    <row r="311" ht="30.0"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c r="BA311" s="51"/>
      <c r="BB311" s="51"/>
      <c r="BC311" s="51"/>
      <c r="BD311" s="51"/>
      <c r="BE311" s="51"/>
      <c r="BF311" s="51"/>
      <c r="BG311" s="51"/>
      <c r="BH311" s="51"/>
      <c r="BI311" s="51"/>
      <c r="BJ311" s="51"/>
      <c r="BK311" s="51"/>
      <c r="BL311" s="51"/>
      <c r="BM311" s="51"/>
      <c r="BN311" s="51"/>
      <c r="BO311" s="51"/>
      <c r="BP311" s="51"/>
      <c r="BQ311" s="51"/>
      <c r="BR311" s="51"/>
      <c r="BS311" s="51"/>
      <c r="BT311" s="51"/>
      <c r="BU311" s="51"/>
      <c r="BV311" s="51"/>
      <c r="BW311" s="51"/>
      <c r="BX311" s="51"/>
      <c r="BY311" s="51"/>
      <c r="BZ311" s="51"/>
      <c r="CA311" s="51"/>
      <c r="CB311" s="51"/>
      <c r="CC311" s="51"/>
      <c r="CD311" s="51"/>
      <c r="CE311" s="51"/>
      <c r="CF311" s="51"/>
      <c r="CG311" s="51"/>
    </row>
    <row r="312" ht="30.0"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c r="BA312" s="51"/>
      <c r="BB312" s="51"/>
      <c r="BC312" s="51"/>
      <c r="BD312" s="51"/>
      <c r="BE312" s="51"/>
      <c r="BF312" s="51"/>
      <c r="BG312" s="51"/>
      <c r="BH312" s="51"/>
      <c r="BI312" s="51"/>
      <c r="BJ312" s="51"/>
      <c r="BK312" s="51"/>
      <c r="BL312" s="51"/>
      <c r="BM312" s="51"/>
      <c r="BN312" s="51"/>
      <c r="BO312" s="51"/>
      <c r="BP312" s="51"/>
      <c r="BQ312" s="51"/>
      <c r="BR312" s="51"/>
      <c r="BS312" s="51"/>
      <c r="BT312" s="51"/>
      <c r="BU312" s="51"/>
      <c r="BV312" s="51"/>
      <c r="BW312" s="51"/>
      <c r="BX312" s="51"/>
      <c r="BY312" s="51"/>
      <c r="BZ312" s="51"/>
      <c r="CA312" s="51"/>
      <c r="CB312" s="51"/>
      <c r="CC312" s="51"/>
      <c r="CD312" s="51"/>
      <c r="CE312" s="51"/>
      <c r="CF312" s="51"/>
      <c r="CG312" s="51"/>
    </row>
    <row r="313" ht="30.0"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c r="BA313" s="51"/>
      <c r="BB313" s="51"/>
      <c r="BC313" s="51"/>
      <c r="BD313" s="51"/>
      <c r="BE313" s="51"/>
      <c r="BF313" s="51"/>
      <c r="BG313" s="51"/>
      <c r="BH313" s="51"/>
      <c r="BI313" s="51"/>
      <c r="BJ313" s="51"/>
      <c r="BK313" s="51"/>
      <c r="BL313" s="51"/>
      <c r="BM313" s="51"/>
      <c r="BN313" s="51"/>
      <c r="BO313" s="51"/>
      <c r="BP313" s="51"/>
      <c r="BQ313" s="51"/>
      <c r="BR313" s="51"/>
      <c r="BS313" s="51"/>
      <c r="BT313" s="51"/>
      <c r="BU313" s="51"/>
      <c r="BV313" s="51"/>
      <c r="BW313" s="51"/>
      <c r="BX313" s="51"/>
      <c r="BY313" s="51"/>
      <c r="BZ313" s="51"/>
      <c r="CA313" s="51"/>
      <c r="CB313" s="51"/>
      <c r="CC313" s="51"/>
      <c r="CD313" s="51"/>
      <c r="CE313" s="51"/>
      <c r="CF313" s="51"/>
      <c r="CG313" s="51"/>
    </row>
    <row r="314" ht="30.0"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c r="BA314" s="51"/>
      <c r="BB314" s="51"/>
      <c r="BC314" s="51"/>
      <c r="BD314" s="51"/>
      <c r="BE314" s="51"/>
      <c r="BF314" s="51"/>
      <c r="BG314" s="51"/>
      <c r="BH314" s="51"/>
      <c r="BI314" s="51"/>
      <c r="BJ314" s="51"/>
      <c r="BK314" s="51"/>
      <c r="BL314" s="51"/>
      <c r="BM314" s="51"/>
      <c r="BN314" s="51"/>
      <c r="BO314" s="51"/>
      <c r="BP314" s="51"/>
      <c r="BQ314" s="51"/>
      <c r="BR314" s="51"/>
      <c r="BS314" s="51"/>
      <c r="BT314" s="51"/>
      <c r="BU314" s="51"/>
      <c r="BV314" s="51"/>
      <c r="BW314" s="51"/>
      <c r="BX314" s="51"/>
      <c r="BY314" s="51"/>
      <c r="BZ314" s="51"/>
      <c r="CA314" s="51"/>
      <c r="CB314" s="51"/>
      <c r="CC314" s="51"/>
      <c r="CD314" s="51"/>
      <c r="CE314" s="51"/>
      <c r="CF314" s="51"/>
      <c r="CG314" s="51"/>
    </row>
    <row r="315" ht="30.0"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c r="BA315" s="51"/>
      <c r="BB315" s="51"/>
      <c r="BC315" s="51"/>
      <c r="BD315" s="51"/>
      <c r="BE315" s="51"/>
      <c r="BF315" s="51"/>
      <c r="BG315" s="51"/>
      <c r="BH315" s="51"/>
      <c r="BI315" s="51"/>
      <c r="BJ315" s="51"/>
      <c r="BK315" s="51"/>
      <c r="BL315" s="51"/>
      <c r="BM315" s="51"/>
      <c r="BN315" s="51"/>
      <c r="BO315" s="51"/>
      <c r="BP315" s="51"/>
      <c r="BQ315" s="51"/>
      <c r="BR315" s="51"/>
      <c r="BS315" s="51"/>
      <c r="BT315" s="51"/>
      <c r="BU315" s="51"/>
      <c r="BV315" s="51"/>
      <c r="BW315" s="51"/>
      <c r="BX315" s="51"/>
      <c r="BY315" s="51"/>
      <c r="BZ315" s="51"/>
      <c r="CA315" s="51"/>
      <c r="CB315" s="51"/>
      <c r="CC315" s="51"/>
      <c r="CD315" s="51"/>
      <c r="CE315" s="51"/>
      <c r="CF315" s="51"/>
      <c r="CG315" s="51"/>
    </row>
    <row r="316" ht="30.0"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c r="BA316" s="51"/>
      <c r="BB316" s="51"/>
      <c r="BC316" s="51"/>
      <c r="BD316" s="51"/>
      <c r="BE316" s="51"/>
      <c r="BF316" s="51"/>
      <c r="BG316" s="51"/>
      <c r="BH316" s="51"/>
      <c r="BI316" s="51"/>
      <c r="BJ316" s="51"/>
      <c r="BK316" s="51"/>
      <c r="BL316" s="51"/>
      <c r="BM316" s="51"/>
      <c r="BN316" s="51"/>
      <c r="BO316" s="51"/>
      <c r="BP316" s="51"/>
      <c r="BQ316" s="51"/>
      <c r="BR316" s="51"/>
      <c r="BS316" s="51"/>
      <c r="BT316" s="51"/>
      <c r="BU316" s="51"/>
      <c r="BV316" s="51"/>
      <c r="BW316" s="51"/>
      <c r="BX316" s="51"/>
      <c r="BY316" s="51"/>
      <c r="BZ316" s="51"/>
      <c r="CA316" s="51"/>
      <c r="CB316" s="51"/>
      <c r="CC316" s="51"/>
      <c r="CD316" s="51"/>
      <c r="CE316" s="51"/>
      <c r="CF316" s="51"/>
      <c r="CG316" s="51"/>
    </row>
    <row r="317" ht="30.0"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c r="BA317" s="51"/>
      <c r="BB317" s="51"/>
      <c r="BC317" s="51"/>
      <c r="BD317" s="51"/>
      <c r="BE317" s="51"/>
      <c r="BF317" s="51"/>
      <c r="BG317" s="51"/>
      <c r="BH317" s="51"/>
      <c r="BI317" s="51"/>
      <c r="BJ317" s="51"/>
      <c r="BK317" s="51"/>
      <c r="BL317" s="51"/>
      <c r="BM317" s="51"/>
      <c r="BN317" s="51"/>
      <c r="BO317" s="51"/>
      <c r="BP317" s="51"/>
      <c r="BQ317" s="51"/>
      <c r="BR317" s="51"/>
      <c r="BS317" s="51"/>
      <c r="BT317" s="51"/>
      <c r="BU317" s="51"/>
      <c r="BV317" s="51"/>
      <c r="BW317" s="51"/>
      <c r="BX317" s="51"/>
      <c r="BY317" s="51"/>
      <c r="BZ317" s="51"/>
      <c r="CA317" s="51"/>
      <c r="CB317" s="51"/>
      <c r="CC317" s="51"/>
      <c r="CD317" s="51"/>
      <c r="CE317" s="51"/>
      <c r="CF317" s="51"/>
      <c r="CG317" s="51"/>
    </row>
    <row r="318" ht="30.0"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c r="BA318" s="51"/>
      <c r="BB318" s="51"/>
      <c r="BC318" s="51"/>
      <c r="BD318" s="51"/>
      <c r="BE318" s="51"/>
      <c r="BF318" s="51"/>
      <c r="BG318" s="51"/>
      <c r="BH318" s="51"/>
      <c r="BI318" s="51"/>
      <c r="BJ318" s="51"/>
      <c r="BK318" s="51"/>
      <c r="BL318" s="51"/>
      <c r="BM318" s="51"/>
      <c r="BN318" s="51"/>
      <c r="BO318" s="51"/>
      <c r="BP318" s="51"/>
      <c r="BQ318" s="51"/>
      <c r="BR318" s="51"/>
      <c r="BS318" s="51"/>
      <c r="BT318" s="51"/>
      <c r="BU318" s="51"/>
      <c r="BV318" s="51"/>
      <c r="BW318" s="51"/>
      <c r="BX318" s="51"/>
      <c r="BY318" s="51"/>
      <c r="BZ318" s="51"/>
      <c r="CA318" s="51"/>
      <c r="CB318" s="51"/>
      <c r="CC318" s="51"/>
      <c r="CD318" s="51"/>
      <c r="CE318" s="51"/>
      <c r="CF318" s="51"/>
      <c r="CG318" s="51"/>
    </row>
    <row r="319" ht="30.0"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c r="BA319" s="51"/>
      <c r="BB319" s="51"/>
      <c r="BC319" s="51"/>
      <c r="BD319" s="51"/>
      <c r="BE319" s="51"/>
      <c r="BF319" s="51"/>
      <c r="BG319" s="51"/>
      <c r="BH319" s="51"/>
      <c r="BI319" s="51"/>
      <c r="BJ319" s="51"/>
      <c r="BK319" s="51"/>
      <c r="BL319" s="51"/>
      <c r="BM319" s="51"/>
      <c r="BN319" s="51"/>
      <c r="BO319" s="51"/>
      <c r="BP319" s="51"/>
      <c r="BQ319" s="51"/>
      <c r="BR319" s="51"/>
      <c r="BS319" s="51"/>
      <c r="BT319" s="51"/>
      <c r="BU319" s="51"/>
      <c r="BV319" s="51"/>
      <c r="BW319" s="51"/>
      <c r="BX319" s="51"/>
      <c r="BY319" s="51"/>
      <c r="BZ319" s="51"/>
      <c r="CA319" s="51"/>
      <c r="CB319" s="51"/>
      <c r="CC319" s="51"/>
      <c r="CD319" s="51"/>
      <c r="CE319" s="51"/>
      <c r="CF319" s="51"/>
      <c r="CG319" s="51"/>
    </row>
    <row r="320" ht="30.0"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c r="BA320" s="51"/>
      <c r="BB320" s="51"/>
      <c r="BC320" s="51"/>
      <c r="BD320" s="51"/>
      <c r="BE320" s="51"/>
      <c r="BF320" s="51"/>
      <c r="BG320" s="51"/>
      <c r="BH320" s="51"/>
      <c r="BI320" s="51"/>
      <c r="BJ320" s="51"/>
      <c r="BK320" s="51"/>
      <c r="BL320" s="51"/>
      <c r="BM320" s="51"/>
      <c r="BN320" s="51"/>
      <c r="BO320" s="51"/>
      <c r="BP320" s="51"/>
      <c r="BQ320" s="51"/>
      <c r="BR320" s="51"/>
      <c r="BS320" s="51"/>
      <c r="BT320" s="51"/>
      <c r="BU320" s="51"/>
      <c r="BV320" s="51"/>
      <c r="BW320" s="51"/>
      <c r="BX320" s="51"/>
      <c r="BY320" s="51"/>
      <c r="BZ320" s="51"/>
      <c r="CA320" s="51"/>
      <c r="CB320" s="51"/>
      <c r="CC320" s="51"/>
      <c r="CD320" s="51"/>
      <c r="CE320" s="51"/>
      <c r="CF320" s="51"/>
      <c r="CG320" s="51"/>
    </row>
    <row r="321" ht="30.0"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c r="BA321" s="51"/>
      <c r="BB321" s="51"/>
      <c r="BC321" s="51"/>
      <c r="BD321" s="51"/>
      <c r="BE321" s="51"/>
      <c r="BF321" s="51"/>
      <c r="BG321" s="51"/>
      <c r="BH321" s="51"/>
      <c r="BI321" s="51"/>
      <c r="BJ321" s="51"/>
      <c r="BK321" s="51"/>
      <c r="BL321" s="51"/>
      <c r="BM321" s="51"/>
      <c r="BN321" s="51"/>
      <c r="BO321" s="51"/>
      <c r="BP321" s="51"/>
      <c r="BQ321" s="51"/>
      <c r="BR321" s="51"/>
      <c r="BS321" s="51"/>
      <c r="BT321" s="51"/>
      <c r="BU321" s="51"/>
      <c r="BV321" s="51"/>
      <c r="BW321" s="51"/>
      <c r="BX321" s="51"/>
      <c r="BY321" s="51"/>
      <c r="BZ321" s="51"/>
      <c r="CA321" s="51"/>
      <c r="CB321" s="51"/>
      <c r="CC321" s="51"/>
      <c r="CD321" s="51"/>
      <c r="CE321" s="51"/>
      <c r="CF321" s="51"/>
      <c r="CG321" s="51"/>
    </row>
    <row r="322" ht="30.0"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c r="BA322" s="51"/>
      <c r="BB322" s="51"/>
      <c r="BC322" s="51"/>
      <c r="BD322" s="51"/>
      <c r="BE322" s="51"/>
      <c r="BF322" s="51"/>
      <c r="BG322" s="51"/>
      <c r="BH322" s="51"/>
      <c r="BI322" s="51"/>
      <c r="BJ322" s="51"/>
      <c r="BK322" s="51"/>
      <c r="BL322" s="51"/>
      <c r="BM322" s="51"/>
      <c r="BN322" s="51"/>
      <c r="BO322" s="51"/>
      <c r="BP322" s="51"/>
      <c r="BQ322" s="51"/>
      <c r="BR322" s="51"/>
      <c r="BS322" s="51"/>
      <c r="BT322" s="51"/>
      <c r="BU322" s="51"/>
      <c r="BV322" s="51"/>
      <c r="BW322" s="51"/>
      <c r="BX322" s="51"/>
      <c r="BY322" s="51"/>
      <c r="BZ322" s="51"/>
      <c r="CA322" s="51"/>
      <c r="CB322" s="51"/>
      <c r="CC322" s="51"/>
      <c r="CD322" s="51"/>
      <c r="CE322" s="51"/>
      <c r="CF322" s="51"/>
      <c r="CG322" s="51"/>
    </row>
    <row r="323" ht="30.0"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c r="BA323" s="51"/>
      <c r="BB323" s="51"/>
      <c r="BC323" s="51"/>
      <c r="BD323" s="51"/>
      <c r="BE323" s="51"/>
      <c r="BF323" s="51"/>
      <c r="BG323" s="51"/>
      <c r="BH323" s="51"/>
      <c r="BI323" s="51"/>
      <c r="BJ323" s="51"/>
      <c r="BK323" s="51"/>
      <c r="BL323" s="51"/>
      <c r="BM323" s="51"/>
      <c r="BN323" s="51"/>
      <c r="BO323" s="51"/>
      <c r="BP323" s="51"/>
      <c r="BQ323" s="51"/>
      <c r="BR323" s="51"/>
      <c r="BS323" s="51"/>
      <c r="BT323" s="51"/>
      <c r="BU323" s="51"/>
      <c r="BV323" s="51"/>
      <c r="BW323" s="51"/>
      <c r="BX323" s="51"/>
      <c r="BY323" s="51"/>
      <c r="BZ323" s="51"/>
      <c r="CA323" s="51"/>
      <c r="CB323" s="51"/>
      <c r="CC323" s="51"/>
      <c r="CD323" s="51"/>
      <c r="CE323" s="51"/>
      <c r="CF323" s="51"/>
      <c r="CG323" s="51"/>
    </row>
    <row r="324" ht="30.0"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c r="BA324" s="51"/>
      <c r="BB324" s="51"/>
      <c r="BC324" s="51"/>
      <c r="BD324" s="51"/>
      <c r="BE324" s="51"/>
      <c r="BF324" s="51"/>
      <c r="BG324" s="51"/>
      <c r="BH324" s="51"/>
      <c r="BI324" s="51"/>
      <c r="BJ324" s="51"/>
      <c r="BK324" s="51"/>
      <c r="BL324" s="51"/>
      <c r="BM324" s="51"/>
      <c r="BN324" s="51"/>
      <c r="BO324" s="51"/>
      <c r="BP324" s="51"/>
      <c r="BQ324" s="51"/>
      <c r="BR324" s="51"/>
      <c r="BS324" s="51"/>
      <c r="BT324" s="51"/>
      <c r="BU324" s="51"/>
      <c r="BV324" s="51"/>
      <c r="BW324" s="51"/>
      <c r="BX324" s="51"/>
      <c r="BY324" s="51"/>
      <c r="BZ324" s="51"/>
      <c r="CA324" s="51"/>
      <c r="CB324" s="51"/>
      <c r="CC324" s="51"/>
      <c r="CD324" s="51"/>
      <c r="CE324" s="51"/>
      <c r="CF324" s="51"/>
      <c r="CG324" s="51"/>
    </row>
    <row r="325" ht="30.0"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c r="BA325" s="51"/>
      <c r="BB325" s="51"/>
      <c r="BC325" s="51"/>
      <c r="BD325" s="51"/>
      <c r="BE325" s="51"/>
      <c r="BF325" s="51"/>
      <c r="BG325" s="51"/>
      <c r="BH325" s="51"/>
      <c r="BI325" s="51"/>
      <c r="BJ325" s="51"/>
      <c r="BK325" s="51"/>
      <c r="BL325" s="51"/>
      <c r="BM325" s="51"/>
      <c r="BN325" s="51"/>
      <c r="BO325" s="51"/>
      <c r="BP325" s="51"/>
      <c r="BQ325" s="51"/>
      <c r="BR325" s="51"/>
      <c r="BS325" s="51"/>
      <c r="BT325" s="51"/>
      <c r="BU325" s="51"/>
      <c r="BV325" s="51"/>
      <c r="BW325" s="51"/>
      <c r="BX325" s="51"/>
      <c r="BY325" s="51"/>
      <c r="BZ325" s="51"/>
      <c r="CA325" s="51"/>
      <c r="CB325" s="51"/>
      <c r="CC325" s="51"/>
      <c r="CD325" s="51"/>
      <c r="CE325" s="51"/>
      <c r="CF325" s="51"/>
      <c r="CG325" s="51"/>
    </row>
    <row r="326" ht="30.0"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c r="BA326" s="51"/>
      <c r="BB326" s="51"/>
      <c r="BC326" s="51"/>
      <c r="BD326" s="51"/>
      <c r="BE326" s="51"/>
      <c r="BF326" s="51"/>
      <c r="BG326" s="51"/>
      <c r="BH326" s="51"/>
      <c r="BI326" s="51"/>
      <c r="BJ326" s="51"/>
      <c r="BK326" s="51"/>
      <c r="BL326" s="51"/>
      <c r="BM326" s="51"/>
      <c r="BN326" s="51"/>
      <c r="BO326" s="51"/>
      <c r="BP326" s="51"/>
      <c r="BQ326" s="51"/>
      <c r="BR326" s="51"/>
      <c r="BS326" s="51"/>
      <c r="BT326" s="51"/>
      <c r="BU326" s="51"/>
      <c r="BV326" s="51"/>
      <c r="BW326" s="51"/>
      <c r="BX326" s="51"/>
      <c r="BY326" s="51"/>
      <c r="BZ326" s="51"/>
      <c r="CA326" s="51"/>
      <c r="CB326" s="51"/>
      <c r="CC326" s="51"/>
      <c r="CD326" s="51"/>
      <c r="CE326" s="51"/>
      <c r="CF326" s="51"/>
      <c r="CG326" s="51"/>
    </row>
    <row r="327" ht="30.0"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c r="BA327" s="51"/>
      <c r="BB327" s="51"/>
      <c r="BC327" s="51"/>
      <c r="BD327" s="51"/>
      <c r="BE327" s="51"/>
      <c r="BF327" s="51"/>
      <c r="BG327" s="51"/>
      <c r="BH327" s="51"/>
      <c r="BI327" s="51"/>
      <c r="BJ327" s="51"/>
      <c r="BK327" s="51"/>
      <c r="BL327" s="51"/>
      <c r="BM327" s="51"/>
      <c r="BN327" s="51"/>
      <c r="BO327" s="51"/>
      <c r="BP327" s="51"/>
      <c r="BQ327" s="51"/>
      <c r="BR327" s="51"/>
      <c r="BS327" s="51"/>
      <c r="BT327" s="51"/>
      <c r="BU327" s="51"/>
      <c r="BV327" s="51"/>
      <c r="BW327" s="51"/>
      <c r="BX327" s="51"/>
      <c r="BY327" s="51"/>
      <c r="BZ327" s="51"/>
      <c r="CA327" s="51"/>
      <c r="CB327" s="51"/>
      <c r="CC327" s="51"/>
      <c r="CD327" s="51"/>
      <c r="CE327" s="51"/>
      <c r="CF327" s="51"/>
      <c r="CG327" s="51"/>
    </row>
    <row r="328" ht="30.0"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c r="BA328" s="51"/>
      <c r="BB328" s="51"/>
      <c r="BC328" s="51"/>
      <c r="BD328" s="51"/>
      <c r="BE328" s="51"/>
      <c r="BF328" s="51"/>
      <c r="BG328" s="51"/>
      <c r="BH328" s="51"/>
      <c r="BI328" s="51"/>
      <c r="BJ328" s="51"/>
      <c r="BK328" s="51"/>
      <c r="BL328" s="51"/>
      <c r="BM328" s="51"/>
      <c r="BN328" s="51"/>
      <c r="BO328" s="51"/>
      <c r="BP328" s="51"/>
      <c r="BQ328" s="51"/>
      <c r="BR328" s="51"/>
      <c r="BS328" s="51"/>
      <c r="BT328" s="51"/>
      <c r="BU328" s="51"/>
      <c r="BV328" s="51"/>
      <c r="BW328" s="51"/>
      <c r="BX328" s="51"/>
      <c r="BY328" s="51"/>
      <c r="BZ328" s="51"/>
      <c r="CA328" s="51"/>
      <c r="CB328" s="51"/>
      <c r="CC328" s="51"/>
      <c r="CD328" s="51"/>
      <c r="CE328" s="51"/>
      <c r="CF328" s="51"/>
      <c r="CG328" s="51"/>
    </row>
    <row r="329" ht="30.0"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c r="BA329" s="51"/>
      <c r="BB329" s="51"/>
      <c r="BC329" s="51"/>
      <c r="BD329" s="51"/>
      <c r="BE329" s="51"/>
      <c r="BF329" s="51"/>
      <c r="BG329" s="51"/>
      <c r="BH329" s="51"/>
      <c r="BI329" s="51"/>
      <c r="BJ329" s="51"/>
      <c r="BK329" s="51"/>
      <c r="BL329" s="51"/>
      <c r="BM329" s="51"/>
      <c r="BN329" s="51"/>
      <c r="BO329" s="51"/>
      <c r="BP329" s="51"/>
      <c r="BQ329" s="51"/>
      <c r="BR329" s="51"/>
      <c r="BS329" s="51"/>
      <c r="BT329" s="51"/>
      <c r="BU329" s="51"/>
      <c r="BV329" s="51"/>
      <c r="BW329" s="51"/>
      <c r="BX329" s="51"/>
      <c r="BY329" s="51"/>
      <c r="BZ329" s="51"/>
      <c r="CA329" s="51"/>
      <c r="CB329" s="51"/>
      <c r="CC329" s="51"/>
      <c r="CD329" s="51"/>
      <c r="CE329" s="51"/>
      <c r="CF329" s="51"/>
      <c r="CG329" s="51"/>
    </row>
    <row r="330" ht="30.0"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c r="BA330" s="51"/>
      <c r="BB330" s="51"/>
      <c r="BC330" s="51"/>
      <c r="BD330" s="51"/>
      <c r="BE330" s="51"/>
      <c r="BF330" s="51"/>
      <c r="BG330" s="51"/>
      <c r="BH330" s="51"/>
      <c r="BI330" s="51"/>
      <c r="BJ330" s="51"/>
      <c r="BK330" s="51"/>
      <c r="BL330" s="51"/>
      <c r="BM330" s="51"/>
      <c r="BN330" s="51"/>
      <c r="BO330" s="51"/>
      <c r="BP330" s="51"/>
      <c r="BQ330" s="51"/>
      <c r="BR330" s="51"/>
      <c r="BS330" s="51"/>
      <c r="BT330" s="51"/>
      <c r="BU330" s="51"/>
      <c r="BV330" s="51"/>
      <c r="BW330" s="51"/>
      <c r="BX330" s="51"/>
      <c r="BY330" s="51"/>
      <c r="BZ330" s="51"/>
      <c r="CA330" s="51"/>
      <c r="CB330" s="51"/>
      <c r="CC330" s="51"/>
      <c r="CD330" s="51"/>
      <c r="CE330" s="51"/>
      <c r="CF330" s="51"/>
      <c r="CG330" s="51"/>
    </row>
    <row r="331" ht="30.0"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c r="BA331" s="51"/>
      <c r="BB331" s="51"/>
      <c r="BC331" s="51"/>
      <c r="BD331" s="51"/>
      <c r="BE331" s="51"/>
      <c r="BF331" s="51"/>
      <c r="BG331" s="51"/>
      <c r="BH331" s="51"/>
      <c r="BI331" s="51"/>
      <c r="BJ331" s="51"/>
      <c r="BK331" s="51"/>
      <c r="BL331" s="51"/>
      <c r="BM331" s="51"/>
      <c r="BN331" s="51"/>
      <c r="BO331" s="51"/>
      <c r="BP331" s="51"/>
      <c r="BQ331" s="51"/>
      <c r="BR331" s="51"/>
      <c r="BS331" s="51"/>
      <c r="BT331" s="51"/>
      <c r="BU331" s="51"/>
      <c r="BV331" s="51"/>
      <c r="BW331" s="51"/>
      <c r="BX331" s="51"/>
      <c r="BY331" s="51"/>
      <c r="BZ331" s="51"/>
      <c r="CA331" s="51"/>
      <c r="CB331" s="51"/>
      <c r="CC331" s="51"/>
      <c r="CD331" s="51"/>
      <c r="CE331" s="51"/>
      <c r="CF331" s="51"/>
      <c r="CG331" s="51"/>
    </row>
    <row r="332" ht="30.0"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c r="BA332" s="51"/>
      <c r="BB332" s="51"/>
      <c r="BC332" s="51"/>
      <c r="BD332" s="51"/>
      <c r="BE332" s="51"/>
      <c r="BF332" s="51"/>
      <c r="BG332" s="51"/>
      <c r="BH332" s="51"/>
      <c r="BI332" s="51"/>
      <c r="BJ332" s="51"/>
      <c r="BK332" s="51"/>
      <c r="BL332" s="51"/>
      <c r="BM332" s="51"/>
      <c r="BN332" s="51"/>
      <c r="BO332" s="51"/>
      <c r="BP332" s="51"/>
      <c r="BQ332" s="51"/>
      <c r="BR332" s="51"/>
      <c r="BS332" s="51"/>
      <c r="BT332" s="51"/>
      <c r="BU332" s="51"/>
      <c r="BV332" s="51"/>
      <c r="BW332" s="51"/>
      <c r="BX332" s="51"/>
      <c r="BY332" s="51"/>
      <c r="BZ332" s="51"/>
      <c r="CA332" s="51"/>
      <c r="CB332" s="51"/>
      <c r="CC332" s="51"/>
      <c r="CD332" s="51"/>
      <c r="CE332" s="51"/>
      <c r="CF332" s="51"/>
      <c r="CG332" s="51"/>
    </row>
    <row r="333" ht="30.0"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c r="BA333" s="51"/>
      <c r="BB333" s="51"/>
      <c r="BC333" s="51"/>
      <c r="BD333" s="51"/>
      <c r="BE333" s="51"/>
      <c r="BF333" s="51"/>
      <c r="BG333" s="51"/>
      <c r="BH333" s="51"/>
      <c r="BI333" s="51"/>
      <c r="BJ333" s="51"/>
      <c r="BK333" s="51"/>
      <c r="BL333" s="51"/>
      <c r="BM333" s="51"/>
      <c r="BN333" s="51"/>
      <c r="BO333" s="51"/>
      <c r="BP333" s="51"/>
      <c r="BQ333" s="51"/>
      <c r="BR333" s="51"/>
      <c r="BS333" s="51"/>
      <c r="BT333" s="51"/>
      <c r="BU333" s="51"/>
      <c r="BV333" s="51"/>
      <c r="BW333" s="51"/>
      <c r="BX333" s="51"/>
      <c r="BY333" s="51"/>
      <c r="BZ333" s="51"/>
      <c r="CA333" s="51"/>
      <c r="CB333" s="51"/>
      <c r="CC333" s="51"/>
      <c r="CD333" s="51"/>
      <c r="CE333" s="51"/>
      <c r="CF333" s="51"/>
      <c r="CG333" s="51"/>
    </row>
    <row r="334" ht="30.0"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c r="BA334" s="51"/>
      <c r="BB334" s="51"/>
      <c r="BC334" s="51"/>
      <c r="BD334" s="51"/>
      <c r="BE334" s="51"/>
      <c r="BF334" s="51"/>
      <c r="BG334" s="51"/>
      <c r="BH334" s="51"/>
      <c r="BI334" s="51"/>
      <c r="BJ334" s="51"/>
      <c r="BK334" s="51"/>
      <c r="BL334" s="51"/>
      <c r="BM334" s="51"/>
      <c r="BN334" s="51"/>
      <c r="BO334" s="51"/>
      <c r="BP334" s="51"/>
      <c r="BQ334" s="51"/>
      <c r="BR334" s="51"/>
      <c r="BS334" s="51"/>
      <c r="BT334" s="51"/>
      <c r="BU334" s="51"/>
      <c r="BV334" s="51"/>
      <c r="BW334" s="51"/>
      <c r="BX334" s="51"/>
      <c r="BY334" s="51"/>
      <c r="BZ334" s="51"/>
      <c r="CA334" s="51"/>
      <c r="CB334" s="51"/>
      <c r="CC334" s="51"/>
      <c r="CD334" s="51"/>
      <c r="CE334" s="51"/>
      <c r="CF334" s="51"/>
      <c r="CG334" s="51"/>
    </row>
    <row r="335" ht="30.0"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c r="BA335" s="51"/>
      <c r="BB335" s="51"/>
      <c r="BC335" s="51"/>
      <c r="BD335" s="51"/>
      <c r="BE335" s="51"/>
      <c r="BF335" s="51"/>
      <c r="BG335" s="51"/>
      <c r="BH335" s="51"/>
      <c r="BI335" s="51"/>
      <c r="BJ335" s="51"/>
      <c r="BK335" s="51"/>
      <c r="BL335" s="51"/>
      <c r="BM335" s="51"/>
      <c r="BN335" s="51"/>
      <c r="BO335" s="51"/>
      <c r="BP335" s="51"/>
      <c r="BQ335" s="51"/>
      <c r="BR335" s="51"/>
      <c r="BS335" s="51"/>
      <c r="BT335" s="51"/>
      <c r="BU335" s="51"/>
      <c r="BV335" s="51"/>
      <c r="BW335" s="51"/>
      <c r="BX335" s="51"/>
      <c r="BY335" s="51"/>
      <c r="BZ335" s="51"/>
      <c r="CA335" s="51"/>
      <c r="CB335" s="51"/>
      <c r="CC335" s="51"/>
      <c r="CD335" s="51"/>
      <c r="CE335" s="51"/>
      <c r="CF335" s="51"/>
      <c r="CG335" s="51"/>
    </row>
    <row r="336" ht="30.0"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c r="BA336" s="51"/>
      <c r="BB336" s="51"/>
      <c r="BC336" s="51"/>
      <c r="BD336" s="51"/>
      <c r="BE336" s="51"/>
      <c r="BF336" s="51"/>
      <c r="BG336" s="51"/>
      <c r="BH336" s="51"/>
      <c r="BI336" s="51"/>
      <c r="BJ336" s="51"/>
      <c r="BK336" s="51"/>
      <c r="BL336" s="51"/>
      <c r="BM336" s="51"/>
      <c r="BN336" s="51"/>
      <c r="BO336" s="51"/>
      <c r="BP336" s="51"/>
      <c r="BQ336" s="51"/>
      <c r="BR336" s="51"/>
      <c r="BS336" s="51"/>
      <c r="BT336" s="51"/>
      <c r="BU336" s="51"/>
      <c r="BV336" s="51"/>
      <c r="BW336" s="51"/>
      <c r="BX336" s="51"/>
      <c r="BY336" s="51"/>
      <c r="BZ336" s="51"/>
      <c r="CA336" s="51"/>
      <c r="CB336" s="51"/>
      <c r="CC336" s="51"/>
      <c r="CD336" s="51"/>
      <c r="CE336" s="51"/>
      <c r="CF336" s="51"/>
      <c r="CG336" s="51"/>
    </row>
    <row r="337" ht="30.0"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c r="BA337" s="51"/>
      <c r="BB337" s="51"/>
      <c r="BC337" s="51"/>
      <c r="BD337" s="51"/>
      <c r="BE337" s="51"/>
      <c r="BF337" s="51"/>
      <c r="BG337" s="51"/>
      <c r="BH337" s="51"/>
      <c r="BI337" s="51"/>
      <c r="BJ337" s="51"/>
      <c r="BK337" s="51"/>
      <c r="BL337" s="51"/>
      <c r="BM337" s="51"/>
      <c r="BN337" s="51"/>
      <c r="BO337" s="51"/>
      <c r="BP337" s="51"/>
      <c r="BQ337" s="51"/>
      <c r="BR337" s="51"/>
      <c r="BS337" s="51"/>
      <c r="BT337" s="51"/>
      <c r="BU337" s="51"/>
      <c r="BV337" s="51"/>
      <c r="BW337" s="51"/>
      <c r="BX337" s="51"/>
      <c r="BY337" s="51"/>
      <c r="BZ337" s="51"/>
      <c r="CA337" s="51"/>
      <c r="CB337" s="51"/>
      <c r="CC337" s="51"/>
      <c r="CD337" s="51"/>
      <c r="CE337" s="51"/>
      <c r="CF337" s="51"/>
      <c r="CG337" s="51"/>
    </row>
    <row r="338" ht="30.0"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c r="BA338" s="51"/>
      <c r="BB338" s="51"/>
      <c r="BC338" s="51"/>
      <c r="BD338" s="51"/>
      <c r="BE338" s="51"/>
      <c r="BF338" s="51"/>
      <c r="BG338" s="51"/>
      <c r="BH338" s="51"/>
      <c r="BI338" s="51"/>
      <c r="BJ338" s="51"/>
      <c r="BK338" s="51"/>
      <c r="BL338" s="51"/>
      <c r="BM338" s="51"/>
      <c r="BN338" s="51"/>
      <c r="BO338" s="51"/>
      <c r="BP338" s="51"/>
      <c r="BQ338" s="51"/>
      <c r="BR338" s="51"/>
      <c r="BS338" s="51"/>
      <c r="BT338" s="51"/>
      <c r="BU338" s="51"/>
      <c r="BV338" s="51"/>
      <c r="BW338" s="51"/>
      <c r="BX338" s="51"/>
      <c r="BY338" s="51"/>
      <c r="BZ338" s="51"/>
      <c r="CA338" s="51"/>
      <c r="CB338" s="51"/>
      <c r="CC338" s="51"/>
      <c r="CD338" s="51"/>
      <c r="CE338" s="51"/>
      <c r="CF338" s="51"/>
      <c r="CG338" s="51"/>
    </row>
    <row r="339" ht="30.0"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c r="BA339" s="51"/>
      <c r="BB339" s="51"/>
      <c r="BC339" s="51"/>
      <c r="BD339" s="51"/>
      <c r="BE339" s="51"/>
      <c r="BF339" s="51"/>
      <c r="BG339" s="51"/>
      <c r="BH339" s="51"/>
      <c r="BI339" s="51"/>
      <c r="BJ339" s="51"/>
      <c r="BK339" s="51"/>
      <c r="BL339" s="51"/>
      <c r="BM339" s="51"/>
      <c r="BN339" s="51"/>
      <c r="BO339" s="51"/>
      <c r="BP339" s="51"/>
      <c r="BQ339" s="51"/>
      <c r="BR339" s="51"/>
      <c r="BS339" s="51"/>
      <c r="BT339" s="51"/>
      <c r="BU339" s="51"/>
      <c r="BV339" s="51"/>
      <c r="BW339" s="51"/>
      <c r="BX339" s="51"/>
      <c r="BY339" s="51"/>
      <c r="BZ339" s="51"/>
      <c r="CA339" s="51"/>
      <c r="CB339" s="51"/>
      <c r="CC339" s="51"/>
      <c r="CD339" s="51"/>
      <c r="CE339" s="51"/>
      <c r="CF339" s="51"/>
      <c r="CG339" s="51"/>
    </row>
    <row r="340" ht="30.0"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c r="BA340" s="51"/>
      <c r="BB340" s="51"/>
      <c r="BC340" s="51"/>
      <c r="BD340" s="51"/>
      <c r="BE340" s="51"/>
      <c r="BF340" s="51"/>
      <c r="BG340" s="51"/>
      <c r="BH340" s="51"/>
      <c r="BI340" s="51"/>
      <c r="BJ340" s="51"/>
      <c r="BK340" s="51"/>
      <c r="BL340" s="51"/>
      <c r="BM340" s="51"/>
      <c r="BN340" s="51"/>
      <c r="BO340" s="51"/>
      <c r="BP340" s="51"/>
      <c r="BQ340" s="51"/>
      <c r="BR340" s="51"/>
      <c r="BS340" s="51"/>
      <c r="BT340" s="51"/>
      <c r="BU340" s="51"/>
      <c r="BV340" s="51"/>
      <c r="BW340" s="51"/>
      <c r="BX340" s="51"/>
      <c r="BY340" s="51"/>
      <c r="BZ340" s="51"/>
      <c r="CA340" s="51"/>
      <c r="CB340" s="51"/>
      <c r="CC340" s="51"/>
      <c r="CD340" s="51"/>
      <c r="CE340" s="51"/>
      <c r="CF340" s="51"/>
      <c r="CG340" s="51"/>
    </row>
    <row r="341" ht="30.0"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c r="BA341" s="51"/>
      <c r="BB341" s="51"/>
      <c r="BC341" s="51"/>
      <c r="BD341" s="51"/>
      <c r="BE341" s="51"/>
      <c r="BF341" s="51"/>
      <c r="BG341" s="51"/>
      <c r="BH341" s="51"/>
      <c r="BI341" s="51"/>
      <c r="BJ341" s="51"/>
      <c r="BK341" s="51"/>
      <c r="BL341" s="51"/>
      <c r="BM341" s="51"/>
      <c r="BN341" s="51"/>
      <c r="BO341" s="51"/>
      <c r="BP341" s="51"/>
      <c r="BQ341" s="51"/>
      <c r="BR341" s="51"/>
      <c r="BS341" s="51"/>
      <c r="BT341" s="51"/>
      <c r="BU341" s="51"/>
      <c r="BV341" s="51"/>
      <c r="BW341" s="51"/>
      <c r="BX341" s="51"/>
      <c r="BY341" s="51"/>
      <c r="BZ341" s="51"/>
      <c r="CA341" s="51"/>
      <c r="CB341" s="51"/>
      <c r="CC341" s="51"/>
      <c r="CD341" s="51"/>
      <c r="CE341" s="51"/>
      <c r="CF341" s="51"/>
      <c r="CG341" s="51"/>
    </row>
    <row r="342" ht="30.0"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c r="BA342" s="51"/>
      <c r="BB342" s="51"/>
      <c r="BC342" s="51"/>
      <c r="BD342" s="51"/>
      <c r="BE342" s="51"/>
      <c r="BF342" s="51"/>
      <c r="BG342" s="51"/>
      <c r="BH342" s="51"/>
      <c r="BI342" s="51"/>
      <c r="BJ342" s="51"/>
      <c r="BK342" s="51"/>
      <c r="BL342" s="51"/>
      <c r="BM342" s="51"/>
      <c r="BN342" s="51"/>
      <c r="BO342" s="51"/>
      <c r="BP342" s="51"/>
      <c r="BQ342" s="51"/>
      <c r="BR342" s="51"/>
      <c r="BS342" s="51"/>
      <c r="BT342" s="51"/>
      <c r="BU342" s="51"/>
      <c r="BV342" s="51"/>
      <c r="BW342" s="51"/>
      <c r="BX342" s="51"/>
      <c r="BY342" s="51"/>
      <c r="BZ342" s="51"/>
      <c r="CA342" s="51"/>
      <c r="CB342" s="51"/>
      <c r="CC342" s="51"/>
      <c r="CD342" s="51"/>
      <c r="CE342" s="51"/>
      <c r="CF342" s="51"/>
      <c r="CG342" s="51"/>
    </row>
    <row r="343" ht="30.0"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c r="BA343" s="51"/>
      <c r="BB343" s="51"/>
      <c r="BC343" s="51"/>
      <c r="BD343" s="51"/>
      <c r="BE343" s="51"/>
      <c r="BF343" s="51"/>
      <c r="BG343" s="51"/>
      <c r="BH343" s="51"/>
      <c r="BI343" s="51"/>
      <c r="BJ343" s="51"/>
      <c r="BK343" s="51"/>
      <c r="BL343" s="51"/>
      <c r="BM343" s="51"/>
      <c r="BN343" s="51"/>
      <c r="BO343" s="51"/>
      <c r="BP343" s="51"/>
      <c r="BQ343" s="51"/>
      <c r="BR343" s="51"/>
      <c r="BS343" s="51"/>
      <c r="BT343" s="51"/>
      <c r="BU343" s="51"/>
      <c r="BV343" s="51"/>
      <c r="BW343" s="51"/>
      <c r="BX343" s="51"/>
      <c r="BY343" s="51"/>
      <c r="BZ343" s="51"/>
      <c r="CA343" s="51"/>
      <c r="CB343" s="51"/>
      <c r="CC343" s="51"/>
      <c r="CD343" s="51"/>
      <c r="CE343" s="51"/>
      <c r="CF343" s="51"/>
      <c r="CG343" s="51"/>
    </row>
    <row r="344" ht="30.0"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c r="BA344" s="51"/>
      <c r="BB344" s="51"/>
      <c r="BC344" s="51"/>
      <c r="BD344" s="51"/>
      <c r="BE344" s="51"/>
      <c r="BF344" s="51"/>
      <c r="BG344" s="51"/>
      <c r="BH344" s="51"/>
      <c r="BI344" s="51"/>
      <c r="BJ344" s="51"/>
      <c r="BK344" s="51"/>
      <c r="BL344" s="51"/>
      <c r="BM344" s="51"/>
      <c r="BN344" s="51"/>
      <c r="BO344" s="51"/>
      <c r="BP344" s="51"/>
      <c r="BQ344" s="51"/>
      <c r="BR344" s="51"/>
      <c r="BS344" s="51"/>
      <c r="BT344" s="51"/>
      <c r="BU344" s="51"/>
      <c r="BV344" s="51"/>
      <c r="BW344" s="51"/>
      <c r="BX344" s="51"/>
      <c r="BY344" s="51"/>
      <c r="BZ344" s="51"/>
      <c r="CA344" s="51"/>
      <c r="CB344" s="51"/>
      <c r="CC344" s="51"/>
      <c r="CD344" s="51"/>
      <c r="CE344" s="51"/>
      <c r="CF344" s="51"/>
      <c r="CG344" s="51"/>
    </row>
    <row r="345" ht="30.0"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c r="BA345" s="51"/>
      <c r="BB345" s="51"/>
      <c r="BC345" s="51"/>
      <c r="BD345" s="51"/>
      <c r="BE345" s="51"/>
      <c r="BF345" s="51"/>
      <c r="BG345" s="51"/>
      <c r="BH345" s="51"/>
      <c r="BI345" s="51"/>
      <c r="BJ345" s="51"/>
      <c r="BK345" s="51"/>
      <c r="BL345" s="51"/>
      <c r="BM345" s="51"/>
      <c r="BN345" s="51"/>
      <c r="BO345" s="51"/>
      <c r="BP345" s="51"/>
      <c r="BQ345" s="51"/>
      <c r="BR345" s="51"/>
      <c r="BS345" s="51"/>
      <c r="BT345" s="51"/>
      <c r="BU345" s="51"/>
      <c r="BV345" s="51"/>
      <c r="BW345" s="51"/>
      <c r="BX345" s="51"/>
      <c r="BY345" s="51"/>
      <c r="BZ345" s="51"/>
      <c r="CA345" s="51"/>
      <c r="CB345" s="51"/>
      <c r="CC345" s="51"/>
      <c r="CD345" s="51"/>
      <c r="CE345" s="51"/>
      <c r="CF345" s="51"/>
      <c r="CG345" s="51"/>
    </row>
    <row r="346" ht="30.0"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c r="BA346" s="51"/>
      <c r="BB346" s="51"/>
      <c r="BC346" s="51"/>
      <c r="BD346" s="51"/>
      <c r="BE346" s="51"/>
      <c r="BF346" s="51"/>
      <c r="BG346" s="51"/>
      <c r="BH346" s="51"/>
      <c r="BI346" s="51"/>
      <c r="BJ346" s="51"/>
      <c r="BK346" s="51"/>
      <c r="BL346" s="51"/>
      <c r="BM346" s="51"/>
      <c r="BN346" s="51"/>
      <c r="BO346" s="51"/>
      <c r="BP346" s="51"/>
      <c r="BQ346" s="51"/>
      <c r="BR346" s="51"/>
      <c r="BS346" s="51"/>
      <c r="BT346" s="51"/>
      <c r="BU346" s="51"/>
      <c r="BV346" s="51"/>
      <c r="BW346" s="51"/>
      <c r="BX346" s="51"/>
      <c r="BY346" s="51"/>
      <c r="BZ346" s="51"/>
      <c r="CA346" s="51"/>
      <c r="CB346" s="51"/>
      <c r="CC346" s="51"/>
      <c r="CD346" s="51"/>
      <c r="CE346" s="51"/>
      <c r="CF346" s="51"/>
      <c r="CG346" s="51"/>
    </row>
    <row r="347" ht="30.0"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c r="BA347" s="51"/>
      <c r="BB347" s="51"/>
      <c r="BC347" s="51"/>
      <c r="BD347" s="51"/>
      <c r="BE347" s="51"/>
      <c r="BF347" s="51"/>
      <c r="BG347" s="51"/>
      <c r="BH347" s="51"/>
      <c r="BI347" s="51"/>
      <c r="BJ347" s="51"/>
      <c r="BK347" s="51"/>
      <c r="BL347" s="51"/>
      <c r="BM347" s="51"/>
      <c r="BN347" s="51"/>
      <c r="BO347" s="51"/>
      <c r="BP347" s="51"/>
      <c r="BQ347" s="51"/>
      <c r="BR347" s="51"/>
      <c r="BS347" s="51"/>
      <c r="BT347" s="51"/>
      <c r="BU347" s="51"/>
      <c r="BV347" s="51"/>
      <c r="BW347" s="51"/>
      <c r="BX347" s="51"/>
      <c r="BY347" s="51"/>
      <c r="BZ347" s="51"/>
      <c r="CA347" s="51"/>
      <c r="CB347" s="51"/>
      <c r="CC347" s="51"/>
      <c r="CD347" s="51"/>
      <c r="CE347" s="51"/>
      <c r="CF347" s="51"/>
      <c r="CG347" s="51"/>
    </row>
    <row r="348" ht="30.0"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c r="BA348" s="51"/>
      <c r="BB348" s="51"/>
      <c r="BC348" s="51"/>
      <c r="BD348" s="51"/>
      <c r="BE348" s="51"/>
      <c r="BF348" s="51"/>
      <c r="BG348" s="51"/>
      <c r="BH348" s="51"/>
      <c r="BI348" s="51"/>
      <c r="BJ348" s="51"/>
      <c r="BK348" s="51"/>
      <c r="BL348" s="51"/>
      <c r="BM348" s="51"/>
      <c r="BN348" s="51"/>
      <c r="BO348" s="51"/>
      <c r="BP348" s="51"/>
      <c r="BQ348" s="51"/>
      <c r="BR348" s="51"/>
      <c r="BS348" s="51"/>
      <c r="BT348" s="51"/>
      <c r="BU348" s="51"/>
      <c r="BV348" s="51"/>
      <c r="BW348" s="51"/>
      <c r="BX348" s="51"/>
      <c r="BY348" s="51"/>
      <c r="BZ348" s="51"/>
      <c r="CA348" s="51"/>
      <c r="CB348" s="51"/>
      <c r="CC348" s="51"/>
      <c r="CD348" s="51"/>
      <c r="CE348" s="51"/>
      <c r="CF348" s="51"/>
      <c r="CG348" s="51"/>
    </row>
    <row r="349" ht="30.0"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c r="BA349" s="51"/>
      <c r="BB349" s="51"/>
      <c r="BC349" s="51"/>
      <c r="BD349" s="51"/>
      <c r="BE349" s="51"/>
      <c r="BF349" s="51"/>
      <c r="BG349" s="51"/>
      <c r="BH349" s="51"/>
      <c r="BI349" s="51"/>
      <c r="BJ349" s="51"/>
      <c r="BK349" s="51"/>
      <c r="BL349" s="51"/>
      <c r="BM349" s="51"/>
      <c r="BN349" s="51"/>
      <c r="BO349" s="51"/>
      <c r="BP349" s="51"/>
      <c r="BQ349" s="51"/>
      <c r="BR349" s="51"/>
      <c r="BS349" s="51"/>
      <c r="BT349" s="51"/>
      <c r="BU349" s="51"/>
      <c r="BV349" s="51"/>
      <c r="BW349" s="51"/>
      <c r="BX349" s="51"/>
      <c r="BY349" s="51"/>
      <c r="BZ349" s="51"/>
      <c r="CA349" s="51"/>
      <c r="CB349" s="51"/>
      <c r="CC349" s="51"/>
      <c r="CD349" s="51"/>
      <c r="CE349" s="51"/>
      <c r="CF349" s="51"/>
      <c r="CG349" s="51"/>
    </row>
    <row r="350" ht="30.0"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c r="BA350" s="51"/>
      <c r="BB350" s="51"/>
      <c r="BC350" s="51"/>
      <c r="BD350" s="51"/>
      <c r="BE350" s="51"/>
      <c r="BF350" s="51"/>
      <c r="BG350" s="51"/>
      <c r="BH350" s="51"/>
      <c r="BI350" s="51"/>
      <c r="BJ350" s="51"/>
      <c r="BK350" s="51"/>
      <c r="BL350" s="51"/>
      <c r="BM350" s="51"/>
      <c r="BN350" s="51"/>
      <c r="BO350" s="51"/>
      <c r="BP350" s="51"/>
      <c r="BQ350" s="51"/>
      <c r="BR350" s="51"/>
      <c r="BS350" s="51"/>
      <c r="BT350" s="51"/>
      <c r="BU350" s="51"/>
      <c r="BV350" s="51"/>
      <c r="BW350" s="51"/>
      <c r="BX350" s="51"/>
      <c r="BY350" s="51"/>
      <c r="BZ350" s="51"/>
      <c r="CA350" s="51"/>
      <c r="CB350" s="51"/>
      <c r="CC350" s="51"/>
      <c r="CD350" s="51"/>
      <c r="CE350" s="51"/>
      <c r="CF350" s="51"/>
      <c r="CG350" s="51"/>
    </row>
    <row r="351" ht="30.0"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c r="BA351" s="51"/>
      <c r="BB351" s="51"/>
      <c r="BC351" s="51"/>
      <c r="BD351" s="51"/>
      <c r="BE351" s="51"/>
      <c r="BF351" s="51"/>
      <c r="BG351" s="51"/>
      <c r="BH351" s="51"/>
      <c r="BI351" s="51"/>
      <c r="BJ351" s="51"/>
      <c r="BK351" s="51"/>
      <c r="BL351" s="51"/>
      <c r="BM351" s="51"/>
      <c r="BN351" s="51"/>
      <c r="BO351" s="51"/>
      <c r="BP351" s="51"/>
      <c r="BQ351" s="51"/>
      <c r="BR351" s="51"/>
      <c r="BS351" s="51"/>
      <c r="BT351" s="51"/>
      <c r="BU351" s="51"/>
      <c r="BV351" s="51"/>
      <c r="BW351" s="51"/>
      <c r="BX351" s="51"/>
      <c r="BY351" s="51"/>
      <c r="BZ351" s="51"/>
      <c r="CA351" s="51"/>
      <c r="CB351" s="51"/>
      <c r="CC351" s="51"/>
      <c r="CD351" s="51"/>
      <c r="CE351" s="51"/>
      <c r="CF351" s="51"/>
      <c r="CG351" s="51"/>
    </row>
    <row r="352" ht="30.0"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c r="BA352" s="51"/>
      <c r="BB352" s="51"/>
      <c r="BC352" s="51"/>
      <c r="BD352" s="51"/>
      <c r="BE352" s="51"/>
      <c r="BF352" s="51"/>
      <c r="BG352" s="51"/>
      <c r="BH352" s="51"/>
      <c r="BI352" s="51"/>
      <c r="BJ352" s="51"/>
      <c r="BK352" s="51"/>
      <c r="BL352" s="51"/>
      <c r="BM352" s="51"/>
      <c r="BN352" s="51"/>
      <c r="BO352" s="51"/>
      <c r="BP352" s="51"/>
      <c r="BQ352" s="51"/>
      <c r="BR352" s="51"/>
      <c r="BS352" s="51"/>
      <c r="BT352" s="51"/>
      <c r="BU352" s="51"/>
      <c r="BV352" s="51"/>
      <c r="BW352" s="51"/>
      <c r="BX352" s="51"/>
      <c r="BY352" s="51"/>
      <c r="BZ352" s="51"/>
      <c r="CA352" s="51"/>
      <c r="CB352" s="51"/>
      <c r="CC352" s="51"/>
      <c r="CD352" s="51"/>
      <c r="CE352" s="51"/>
      <c r="CF352" s="51"/>
      <c r="CG352" s="51"/>
    </row>
    <row r="353" ht="30.0"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c r="BA353" s="51"/>
      <c r="BB353" s="51"/>
      <c r="BC353" s="51"/>
      <c r="BD353" s="51"/>
      <c r="BE353" s="51"/>
      <c r="BF353" s="51"/>
      <c r="BG353" s="51"/>
      <c r="BH353" s="51"/>
      <c r="BI353" s="51"/>
      <c r="BJ353" s="51"/>
      <c r="BK353" s="51"/>
      <c r="BL353" s="51"/>
      <c r="BM353" s="51"/>
      <c r="BN353" s="51"/>
      <c r="BO353" s="51"/>
      <c r="BP353" s="51"/>
      <c r="BQ353" s="51"/>
      <c r="BR353" s="51"/>
      <c r="BS353" s="51"/>
      <c r="BT353" s="51"/>
      <c r="BU353" s="51"/>
      <c r="BV353" s="51"/>
      <c r="BW353" s="51"/>
      <c r="BX353" s="51"/>
      <c r="BY353" s="51"/>
      <c r="BZ353" s="51"/>
      <c r="CA353" s="51"/>
      <c r="CB353" s="51"/>
      <c r="CC353" s="51"/>
      <c r="CD353" s="51"/>
      <c r="CE353" s="51"/>
      <c r="CF353" s="51"/>
      <c r="CG353" s="51"/>
    </row>
    <row r="354" ht="30.0"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c r="BA354" s="51"/>
      <c r="BB354" s="51"/>
      <c r="BC354" s="51"/>
      <c r="BD354" s="51"/>
      <c r="BE354" s="51"/>
      <c r="BF354" s="51"/>
      <c r="BG354" s="51"/>
      <c r="BH354" s="51"/>
      <c r="BI354" s="51"/>
      <c r="BJ354" s="51"/>
      <c r="BK354" s="51"/>
      <c r="BL354" s="51"/>
      <c r="BM354" s="51"/>
      <c r="BN354" s="51"/>
      <c r="BO354" s="51"/>
      <c r="BP354" s="51"/>
      <c r="BQ354" s="51"/>
      <c r="BR354" s="51"/>
      <c r="BS354" s="51"/>
      <c r="BT354" s="51"/>
      <c r="BU354" s="51"/>
      <c r="BV354" s="51"/>
      <c r="BW354" s="51"/>
      <c r="BX354" s="51"/>
      <c r="BY354" s="51"/>
      <c r="BZ354" s="51"/>
      <c r="CA354" s="51"/>
      <c r="CB354" s="51"/>
      <c r="CC354" s="51"/>
      <c r="CD354" s="51"/>
      <c r="CE354" s="51"/>
      <c r="CF354" s="51"/>
      <c r="CG354" s="51"/>
    </row>
    <row r="355" ht="30.0"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c r="BA355" s="51"/>
      <c r="BB355" s="51"/>
      <c r="BC355" s="51"/>
      <c r="BD355" s="51"/>
      <c r="BE355" s="51"/>
      <c r="BF355" s="51"/>
      <c r="BG355" s="51"/>
      <c r="BH355" s="51"/>
      <c r="BI355" s="51"/>
      <c r="BJ355" s="51"/>
      <c r="BK355" s="51"/>
      <c r="BL355" s="51"/>
      <c r="BM355" s="51"/>
      <c r="BN355" s="51"/>
      <c r="BO355" s="51"/>
      <c r="BP355" s="51"/>
      <c r="BQ355" s="51"/>
      <c r="BR355" s="51"/>
      <c r="BS355" s="51"/>
      <c r="BT355" s="51"/>
      <c r="BU355" s="51"/>
      <c r="BV355" s="51"/>
      <c r="BW355" s="51"/>
      <c r="BX355" s="51"/>
      <c r="BY355" s="51"/>
      <c r="BZ355" s="51"/>
      <c r="CA355" s="51"/>
      <c r="CB355" s="51"/>
      <c r="CC355" s="51"/>
      <c r="CD355" s="51"/>
      <c r="CE355" s="51"/>
      <c r="CF355" s="51"/>
      <c r="CG355" s="51"/>
    </row>
    <row r="356" ht="30.0"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c r="BA356" s="51"/>
      <c r="BB356" s="51"/>
      <c r="BC356" s="51"/>
      <c r="BD356" s="51"/>
      <c r="BE356" s="51"/>
      <c r="BF356" s="51"/>
      <c r="BG356" s="51"/>
      <c r="BH356" s="51"/>
      <c r="BI356" s="51"/>
      <c r="BJ356" s="51"/>
      <c r="BK356" s="51"/>
      <c r="BL356" s="51"/>
      <c r="BM356" s="51"/>
      <c r="BN356" s="51"/>
      <c r="BO356" s="51"/>
      <c r="BP356" s="51"/>
      <c r="BQ356" s="51"/>
      <c r="BR356" s="51"/>
      <c r="BS356" s="51"/>
      <c r="BT356" s="51"/>
      <c r="BU356" s="51"/>
      <c r="BV356" s="51"/>
      <c r="BW356" s="51"/>
      <c r="BX356" s="51"/>
      <c r="BY356" s="51"/>
      <c r="BZ356" s="51"/>
      <c r="CA356" s="51"/>
      <c r="CB356" s="51"/>
      <c r="CC356" s="51"/>
      <c r="CD356" s="51"/>
      <c r="CE356" s="51"/>
      <c r="CF356" s="51"/>
      <c r="CG356" s="51"/>
    </row>
    <row r="357" ht="30.0"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c r="BA357" s="51"/>
      <c r="BB357" s="51"/>
      <c r="BC357" s="51"/>
      <c r="BD357" s="51"/>
      <c r="BE357" s="51"/>
      <c r="BF357" s="51"/>
      <c r="BG357" s="51"/>
      <c r="BH357" s="51"/>
      <c r="BI357" s="51"/>
      <c r="BJ357" s="51"/>
      <c r="BK357" s="51"/>
      <c r="BL357" s="51"/>
      <c r="BM357" s="51"/>
      <c r="BN357" s="51"/>
      <c r="BO357" s="51"/>
      <c r="BP357" s="51"/>
      <c r="BQ357" s="51"/>
      <c r="BR357" s="51"/>
      <c r="BS357" s="51"/>
      <c r="BT357" s="51"/>
      <c r="BU357" s="51"/>
      <c r="BV357" s="51"/>
      <c r="BW357" s="51"/>
      <c r="BX357" s="51"/>
      <c r="BY357" s="51"/>
      <c r="BZ357" s="51"/>
      <c r="CA357" s="51"/>
      <c r="CB357" s="51"/>
      <c r="CC357" s="51"/>
      <c r="CD357" s="51"/>
      <c r="CE357" s="51"/>
      <c r="CF357" s="51"/>
      <c r="CG357" s="51"/>
    </row>
    <row r="358" ht="30.0"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c r="BA358" s="51"/>
      <c r="BB358" s="51"/>
      <c r="BC358" s="51"/>
      <c r="BD358" s="51"/>
      <c r="BE358" s="51"/>
      <c r="BF358" s="51"/>
      <c r="BG358" s="51"/>
      <c r="BH358" s="51"/>
      <c r="BI358" s="51"/>
      <c r="BJ358" s="51"/>
      <c r="BK358" s="51"/>
      <c r="BL358" s="51"/>
      <c r="BM358" s="51"/>
      <c r="BN358" s="51"/>
      <c r="BO358" s="51"/>
      <c r="BP358" s="51"/>
      <c r="BQ358" s="51"/>
      <c r="BR358" s="51"/>
      <c r="BS358" s="51"/>
      <c r="BT358" s="51"/>
      <c r="BU358" s="51"/>
      <c r="BV358" s="51"/>
      <c r="BW358" s="51"/>
      <c r="BX358" s="51"/>
      <c r="BY358" s="51"/>
      <c r="BZ358" s="51"/>
      <c r="CA358" s="51"/>
      <c r="CB358" s="51"/>
      <c r="CC358" s="51"/>
      <c r="CD358" s="51"/>
      <c r="CE358" s="51"/>
      <c r="CF358" s="51"/>
      <c r="CG358" s="51"/>
    </row>
    <row r="359" ht="30.0"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c r="BA359" s="51"/>
      <c r="BB359" s="51"/>
      <c r="BC359" s="51"/>
      <c r="BD359" s="51"/>
      <c r="BE359" s="51"/>
      <c r="BF359" s="51"/>
      <c r="BG359" s="51"/>
      <c r="BH359" s="51"/>
      <c r="BI359" s="51"/>
      <c r="BJ359" s="51"/>
      <c r="BK359" s="51"/>
      <c r="BL359" s="51"/>
      <c r="BM359" s="51"/>
      <c r="BN359" s="51"/>
      <c r="BO359" s="51"/>
      <c r="BP359" s="51"/>
      <c r="BQ359" s="51"/>
      <c r="BR359" s="51"/>
      <c r="BS359" s="51"/>
      <c r="BT359" s="51"/>
      <c r="BU359" s="51"/>
      <c r="BV359" s="51"/>
      <c r="BW359" s="51"/>
      <c r="BX359" s="51"/>
      <c r="BY359" s="51"/>
      <c r="BZ359" s="51"/>
      <c r="CA359" s="51"/>
      <c r="CB359" s="51"/>
      <c r="CC359" s="51"/>
      <c r="CD359" s="51"/>
      <c r="CE359" s="51"/>
      <c r="CF359" s="51"/>
      <c r="CG359" s="51"/>
    </row>
    <row r="360" ht="30.0"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c r="BA360" s="51"/>
      <c r="BB360" s="51"/>
      <c r="BC360" s="51"/>
      <c r="BD360" s="51"/>
      <c r="BE360" s="51"/>
      <c r="BF360" s="51"/>
      <c r="BG360" s="51"/>
      <c r="BH360" s="51"/>
      <c r="BI360" s="51"/>
      <c r="BJ360" s="51"/>
      <c r="BK360" s="51"/>
      <c r="BL360" s="51"/>
      <c r="BM360" s="51"/>
      <c r="BN360" s="51"/>
      <c r="BO360" s="51"/>
      <c r="BP360" s="51"/>
      <c r="BQ360" s="51"/>
      <c r="BR360" s="51"/>
      <c r="BS360" s="51"/>
      <c r="BT360" s="51"/>
      <c r="BU360" s="51"/>
      <c r="BV360" s="51"/>
      <c r="BW360" s="51"/>
      <c r="BX360" s="51"/>
      <c r="BY360" s="51"/>
      <c r="BZ360" s="51"/>
      <c r="CA360" s="51"/>
      <c r="CB360" s="51"/>
      <c r="CC360" s="51"/>
      <c r="CD360" s="51"/>
      <c r="CE360" s="51"/>
      <c r="CF360" s="51"/>
      <c r="CG360" s="51"/>
    </row>
    <row r="361" ht="30.0"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c r="BA361" s="51"/>
      <c r="BB361" s="51"/>
      <c r="BC361" s="51"/>
      <c r="BD361" s="51"/>
      <c r="BE361" s="51"/>
      <c r="BF361" s="51"/>
      <c r="BG361" s="51"/>
      <c r="BH361" s="51"/>
      <c r="BI361" s="51"/>
      <c r="BJ361" s="51"/>
      <c r="BK361" s="51"/>
      <c r="BL361" s="51"/>
      <c r="BM361" s="51"/>
      <c r="BN361" s="51"/>
      <c r="BO361" s="51"/>
      <c r="BP361" s="51"/>
      <c r="BQ361" s="51"/>
      <c r="BR361" s="51"/>
      <c r="BS361" s="51"/>
      <c r="BT361" s="51"/>
      <c r="BU361" s="51"/>
      <c r="BV361" s="51"/>
      <c r="BW361" s="51"/>
      <c r="BX361" s="51"/>
      <c r="BY361" s="51"/>
      <c r="BZ361" s="51"/>
      <c r="CA361" s="51"/>
      <c r="CB361" s="51"/>
      <c r="CC361" s="51"/>
      <c r="CD361" s="51"/>
      <c r="CE361" s="51"/>
      <c r="CF361" s="51"/>
      <c r="CG361" s="51"/>
    </row>
    <row r="362" ht="30.0"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c r="BA362" s="51"/>
      <c r="BB362" s="51"/>
      <c r="BC362" s="51"/>
      <c r="BD362" s="51"/>
      <c r="BE362" s="51"/>
      <c r="BF362" s="51"/>
      <c r="BG362" s="51"/>
      <c r="BH362" s="51"/>
      <c r="BI362" s="51"/>
      <c r="BJ362" s="51"/>
      <c r="BK362" s="51"/>
      <c r="BL362" s="51"/>
      <c r="BM362" s="51"/>
      <c r="BN362" s="51"/>
      <c r="BO362" s="51"/>
      <c r="BP362" s="51"/>
      <c r="BQ362" s="51"/>
      <c r="BR362" s="51"/>
      <c r="BS362" s="51"/>
      <c r="BT362" s="51"/>
      <c r="BU362" s="51"/>
      <c r="BV362" s="51"/>
      <c r="BW362" s="51"/>
      <c r="BX362" s="51"/>
      <c r="BY362" s="51"/>
      <c r="BZ362" s="51"/>
      <c r="CA362" s="51"/>
      <c r="CB362" s="51"/>
      <c r="CC362" s="51"/>
      <c r="CD362" s="51"/>
      <c r="CE362" s="51"/>
      <c r="CF362" s="51"/>
      <c r="CG362" s="51"/>
    </row>
    <row r="363" ht="30.0"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c r="BA363" s="51"/>
      <c r="BB363" s="51"/>
      <c r="BC363" s="51"/>
      <c r="BD363" s="51"/>
      <c r="BE363" s="51"/>
      <c r="BF363" s="51"/>
      <c r="BG363" s="51"/>
      <c r="BH363" s="51"/>
      <c r="BI363" s="51"/>
      <c r="BJ363" s="51"/>
      <c r="BK363" s="51"/>
      <c r="BL363" s="51"/>
      <c r="BM363" s="51"/>
      <c r="BN363" s="51"/>
      <c r="BO363" s="51"/>
      <c r="BP363" s="51"/>
      <c r="BQ363" s="51"/>
      <c r="BR363" s="51"/>
      <c r="BS363" s="51"/>
      <c r="BT363" s="51"/>
      <c r="BU363" s="51"/>
      <c r="BV363" s="51"/>
      <c r="BW363" s="51"/>
      <c r="BX363" s="51"/>
      <c r="BY363" s="51"/>
      <c r="BZ363" s="51"/>
      <c r="CA363" s="51"/>
      <c r="CB363" s="51"/>
      <c r="CC363" s="51"/>
      <c r="CD363" s="51"/>
      <c r="CE363" s="51"/>
      <c r="CF363" s="51"/>
      <c r="CG363" s="51"/>
    </row>
    <row r="364" ht="30.0"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c r="BA364" s="51"/>
      <c r="BB364" s="51"/>
      <c r="BC364" s="51"/>
      <c r="BD364" s="51"/>
      <c r="BE364" s="51"/>
      <c r="BF364" s="51"/>
      <c r="BG364" s="51"/>
      <c r="BH364" s="51"/>
      <c r="BI364" s="51"/>
      <c r="BJ364" s="51"/>
      <c r="BK364" s="51"/>
      <c r="BL364" s="51"/>
      <c r="BM364" s="51"/>
      <c r="BN364" s="51"/>
      <c r="BO364" s="51"/>
      <c r="BP364" s="51"/>
      <c r="BQ364" s="51"/>
      <c r="BR364" s="51"/>
      <c r="BS364" s="51"/>
      <c r="BT364" s="51"/>
      <c r="BU364" s="51"/>
      <c r="BV364" s="51"/>
      <c r="BW364" s="51"/>
      <c r="BX364" s="51"/>
      <c r="BY364" s="51"/>
      <c r="BZ364" s="51"/>
      <c r="CA364" s="51"/>
      <c r="CB364" s="51"/>
      <c r="CC364" s="51"/>
      <c r="CD364" s="51"/>
      <c r="CE364" s="51"/>
      <c r="CF364" s="51"/>
      <c r="CG364" s="51"/>
    </row>
    <row r="365" ht="30.0"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c r="BA365" s="51"/>
      <c r="BB365" s="51"/>
      <c r="BC365" s="51"/>
      <c r="BD365" s="51"/>
      <c r="BE365" s="51"/>
      <c r="BF365" s="51"/>
      <c r="BG365" s="51"/>
      <c r="BH365" s="51"/>
      <c r="BI365" s="51"/>
      <c r="BJ365" s="51"/>
      <c r="BK365" s="51"/>
      <c r="BL365" s="51"/>
      <c r="BM365" s="51"/>
      <c r="BN365" s="51"/>
      <c r="BO365" s="51"/>
      <c r="BP365" s="51"/>
      <c r="BQ365" s="51"/>
      <c r="BR365" s="51"/>
      <c r="BS365" s="51"/>
      <c r="BT365" s="51"/>
      <c r="BU365" s="51"/>
      <c r="BV365" s="51"/>
      <c r="BW365" s="51"/>
      <c r="BX365" s="51"/>
      <c r="BY365" s="51"/>
      <c r="BZ365" s="51"/>
      <c r="CA365" s="51"/>
      <c r="CB365" s="51"/>
      <c r="CC365" s="51"/>
      <c r="CD365" s="51"/>
      <c r="CE365" s="51"/>
      <c r="CF365" s="51"/>
      <c r="CG365" s="51"/>
    </row>
    <row r="366" ht="30.0"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c r="BA366" s="51"/>
      <c r="BB366" s="51"/>
      <c r="BC366" s="51"/>
      <c r="BD366" s="51"/>
      <c r="BE366" s="51"/>
      <c r="BF366" s="51"/>
      <c r="BG366" s="51"/>
      <c r="BH366" s="51"/>
      <c r="BI366" s="51"/>
      <c r="BJ366" s="51"/>
      <c r="BK366" s="51"/>
      <c r="BL366" s="51"/>
      <c r="BM366" s="51"/>
      <c r="BN366" s="51"/>
      <c r="BO366" s="51"/>
      <c r="BP366" s="51"/>
      <c r="BQ366" s="51"/>
      <c r="BR366" s="51"/>
      <c r="BS366" s="51"/>
      <c r="BT366" s="51"/>
      <c r="BU366" s="51"/>
      <c r="BV366" s="51"/>
      <c r="BW366" s="51"/>
      <c r="BX366" s="51"/>
      <c r="BY366" s="51"/>
      <c r="BZ366" s="51"/>
      <c r="CA366" s="51"/>
      <c r="CB366" s="51"/>
      <c r="CC366" s="51"/>
      <c r="CD366" s="51"/>
      <c r="CE366" s="51"/>
      <c r="CF366" s="51"/>
      <c r="CG366" s="51"/>
    </row>
    <row r="367" ht="30.0"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c r="BA367" s="51"/>
      <c r="BB367" s="51"/>
      <c r="BC367" s="51"/>
      <c r="BD367" s="51"/>
      <c r="BE367" s="51"/>
      <c r="BF367" s="51"/>
      <c r="BG367" s="51"/>
      <c r="BH367" s="51"/>
      <c r="BI367" s="51"/>
      <c r="BJ367" s="51"/>
      <c r="BK367" s="51"/>
      <c r="BL367" s="51"/>
      <c r="BM367" s="51"/>
      <c r="BN367" s="51"/>
      <c r="BO367" s="51"/>
      <c r="BP367" s="51"/>
      <c r="BQ367" s="51"/>
      <c r="BR367" s="51"/>
      <c r="BS367" s="51"/>
      <c r="BT367" s="51"/>
      <c r="BU367" s="51"/>
      <c r="BV367" s="51"/>
      <c r="BW367" s="51"/>
      <c r="BX367" s="51"/>
      <c r="BY367" s="51"/>
      <c r="BZ367" s="51"/>
      <c r="CA367" s="51"/>
      <c r="CB367" s="51"/>
      <c r="CC367" s="51"/>
      <c r="CD367" s="51"/>
      <c r="CE367" s="51"/>
      <c r="CF367" s="51"/>
      <c r="CG367" s="51"/>
    </row>
    <row r="368" ht="30.0"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c r="BA368" s="51"/>
      <c r="BB368" s="51"/>
      <c r="BC368" s="51"/>
      <c r="BD368" s="51"/>
      <c r="BE368" s="51"/>
      <c r="BF368" s="51"/>
      <c r="BG368" s="51"/>
      <c r="BH368" s="51"/>
      <c r="BI368" s="51"/>
      <c r="BJ368" s="51"/>
      <c r="BK368" s="51"/>
      <c r="BL368" s="51"/>
      <c r="BM368" s="51"/>
      <c r="BN368" s="51"/>
      <c r="BO368" s="51"/>
      <c r="BP368" s="51"/>
      <c r="BQ368" s="51"/>
      <c r="BR368" s="51"/>
      <c r="BS368" s="51"/>
      <c r="BT368" s="51"/>
      <c r="BU368" s="51"/>
      <c r="BV368" s="51"/>
      <c r="BW368" s="51"/>
      <c r="BX368" s="51"/>
      <c r="BY368" s="51"/>
      <c r="BZ368" s="51"/>
      <c r="CA368" s="51"/>
      <c r="CB368" s="51"/>
      <c r="CC368" s="51"/>
      <c r="CD368" s="51"/>
      <c r="CE368" s="51"/>
      <c r="CF368" s="51"/>
      <c r="CG368" s="51"/>
    </row>
    <row r="369" ht="30.0"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c r="BA369" s="51"/>
      <c r="BB369" s="51"/>
      <c r="BC369" s="51"/>
      <c r="BD369" s="51"/>
      <c r="BE369" s="51"/>
      <c r="BF369" s="51"/>
      <c r="BG369" s="51"/>
      <c r="BH369" s="51"/>
      <c r="BI369" s="51"/>
      <c r="BJ369" s="51"/>
      <c r="BK369" s="51"/>
      <c r="BL369" s="51"/>
      <c r="BM369" s="51"/>
      <c r="BN369" s="51"/>
      <c r="BO369" s="51"/>
      <c r="BP369" s="51"/>
      <c r="BQ369" s="51"/>
      <c r="BR369" s="51"/>
      <c r="BS369" s="51"/>
      <c r="BT369" s="51"/>
      <c r="BU369" s="51"/>
      <c r="BV369" s="51"/>
      <c r="BW369" s="51"/>
      <c r="BX369" s="51"/>
      <c r="BY369" s="51"/>
      <c r="BZ369" s="51"/>
      <c r="CA369" s="51"/>
      <c r="CB369" s="51"/>
      <c r="CC369" s="51"/>
      <c r="CD369" s="51"/>
      <c r="CE369" s="51"/>
      <c r="CF369" s="51"/>
      <c r="CG369" s="51"/>
    </row>
    <row r="370" ht="30.0"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c r="BA370" s="51"/>
      <c r="BB370" s="51"/>
      <c r="BC370" s="51"/>
      <c r="BD370" s="51"/>
      <c r="BE370" s="51"/>
      <c r="BF370" s="51"/>
      <c r="BG370" s="51"/>
      <c r="BH370" s="51"/>
      <c r="BI370" s="51"/>
      <c r="BJ370" s="51"/>
      <c r="BK370" s="51"/>
      <c r="BL370" s="51"/>
      <c r="BM370" s="51"/>
      <c r="BN370" s="51"/>
      <c r="BO370" s="51"/>
      <c r="BP370" s="51"/>
      <c r="BQ370" s="51"/>
      <c r="BR370" s="51"/>
      <c r="BS370" s="51"/>
      <c r="BT370" s="51"/>
      <c r="BU370" s="51"/>
      <c r="BV370" s="51"/>
      <c r="BW370" s="51"/>
      <c r="BX370" s="51"/>
      <c r="BY370" s="51"/>
      <c r="BZ370" s="51"/>
      <c r="CA370" s="51"/>
      <c r="CB370" s="51"/>
      <c r="CC370" s="51"/>
      <c r="CD370" s="51"/>
      <c r="CE370" s="51"/>
      <c r="CF370" s="51"/>
      <c r="CG370" s="51"/>
    </row>
    <row r="371" ht="30.0"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c r="BA371" s="51"/>
      <c r="BB371" s="51"/>
      <c r="BC371" s="51"/>
      <c r="BD371" s="51"/>
      <c r="BE371" s="51"/>
      <c r="BF371" s="51"/>
      <c r="BG371" s="51"/>
      <c r="BH371" s="51"/>
      <c r="BI371" s="51"/>
      <c r="BJ371" s="51"/>
      <c r="BK371" s="51"/>
      <c r="BL371" s="51"/>
      <c r="BM371" s="51"/>
      <c r="BN371" s="51"/>
      <c r="BO371" s="51"/>
      <c r="BP371" s="51"/>
      <c r="BQ371" s="51"/>
      <c r="BR371" s="51"/>
      <c r="BS371" s="51"/>
      <c r="BT371" s="51"/>
      <c r="BU371" s="51"/>
      <c r="BV371" s="51"/>
      <c r="BW371" s="51"/>
      <c r="BX371" s="51"/>
      <c r="BY371" s="51"/>
      <c r="BZ371" s="51"/>
      <c r="CA371" s="51"/>
      <c r="CB371" s="51"/>
      <c r="CC371" s="51"/>
      <c r="CD371" s="51"/>
      <c r="CE371" s="51"/>
      <c r="CF371" s="51"/>
      <c r="CG371" s="51"/>
    </row>
    <row r="372" ht="30.0"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c r="BA372" s="51"/>
      <c r="BB372" s="51"/>
      <c r="BC372" s="51"/>
      <c r="BD372" s="51"/>
      <c r="BE372" s="51"/>
      <c r="BF372" s="51"/>
      <c r="BG372" s="51"/>
      <c r="BH372" s="51"/>
      <c r="BI372" s="51"/>
      <c r="BJ372" s="51"/>
      <c r="BK372" s="51"/>
      <c r="BL372" s="51"/>
      <c r="BM372" s="51"/>
      <c r="BN372" s="51"/>
      <c r="BO372" s="51"/>
      <c r="BP372" s="51"/>
      <c r="BQ372" s="51"/>
      <c r="BR372" s="51"/>
      <c r="BS372" s="51"/>
      <c r="BT372" s="51"/>
      <c r="BU372" s="51"/>
      <c r="BV372" s="51"/>
      <c r="BW372" s="51"/>
      <c r="BX372" s="51"/>
      <c r="BY372" s="51"/>
      <c r="BZ372" s="51"/>
      <c r="CA372" s="51"/>
      <c r="CB372" s="51"/>
      <c r="CC372" s="51"/>
      <c r="CD372" s="51"/>
      <c r="CE372" s="51"/>
      <c r="CF372" s="51"/>
      <c r="CG372" s="51"/>
    </row>
    <row r="373" ht="30.0"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c r="BA373" s="51"/>
      <c r="BB373" s="51"/>
      <c r="BC373" s="51"/>
      <c r="BD373" s="51"/>
      <c r="BE373" s="51"/>
      <c r="BF373" s="51"/>
      <c r="BG373" s="51"/>
      <c r="BH373" s="51"/>
      <c r="BI373" s="51"/>
      <c r="BJ373" s="51"/>
      <c r="BK373" s="51"/>
      <c r="BL373" s="51"/>
      <c r="BM373" s="51"/>
      <c r="BN373" s="51"/>
      <c r="BO373" s="51"/>
      <c r="BP373" s="51"/>
      <c r="BQ373" s="51"/>
      <c r="BR373" s="51"/>
      <c r="BS373" s="51"/>
      <c r="BT373" s="51"/>
      <c r="BU373" s="51"/>
      <c r="BV373" s="51"/>
      <c r="BW373" s="51"/>
      <c r="BX373" s="51"/>
      <c r="BY373" s="51"/>
      <c r="BZ373" s="51"/>
      <c r="CA373" s="51"/>
      <c r="CB373" s="51"/>
      <c r="CC373" s="51"/>
      <c r="CD373" s="51"/>
      <c r="CE373" s="51"/>
      <c r="CF373" s="51"/>
      <c r="CG373" s="51"/>
    </row>
    <row r="374" ht="30.0"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c r="BA374" s="51"/>
      <c r="BB374" s="51"/>
      <c r="BC374" s="51"/>
      <c r="BD374" s="51"/>
      <c r="BE374" s="51"/>
      <c r="BF374" s="51"/>
      <c r="BG374" s="51"/>
      <c r="BH374" s="51"/>
      <c r="BI374" s="51"/>
      <c r="BJ374" s="51"/>
      <c r="BK374" s="51"/>
      <c r="BL374" s="51"/>
      <c r="BM374" s="51"/>
      <c r="BN374" s="51"/>
      <c r="BO374" s="51"/>
      <c r="BP374" s="51"/>
      <c r="BQ374" s="51"/>
      <c r="BR374" s="51"/>
      <c r="BS374" s="51"/>
      <c r="BT374" s="51"/>
      <c r="BU374" s="51"/>
      <c r="BV374" s="51"/>
      <c r="BW374" s="51"/>
      <c r="BX374" s="51"/>
      <c r="BY374" s="51"/>
      <c r="BZ374" s="51"/>
      <c r="CA374" s="51"/>
      <c r="CB374" s="51"/>
      <c r="CC374" s="51"/>
      <c r="CD374" s="51"/>
      <c r="CE374" s="51"/>
      <c r="CF374" s="51"/>
      <c r="CG374" s="51"/>
    </row>
    <row r="375" ht="30.0"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c r="BA375" s="51"/>
      <c r="BB375" s="51"/>
      <c r="BC375" s="51"/>
      <c r="BD375" s="51"/>
      <c r="BE375" s="51"/>
      <c r="BF375" s="51"/>
      <c r="BG375" s="51"/>
      <c r="BH375" s="51"/>
      <c r="BI375" s="51"/>
      <c r="BJ375" s="51"/>
      <c r="BK375" s="51"/>
      <c r="BL375" s="51"/>
      <c r="BM375" s="51"/>
      <c r="BN375" s="51"/>
      <c r="BO375" s="51"/>
      <c r="BP375" s="51"/>
      <c r="BQ375" s="51"/>
      <c r="BR375" s="51"/>
      <c r="BS375" s="51"/>
      <c r="BT375" s="51"/>
      <c r="BU375" s="51"/>
      <c r="BV375" s="51"/>
      <c r="BW375" s="51"/>
      <c r="BX375" s="51"/>
      <c r="BY375" s="51"/>
      <c r="BZ375" s="51"/>
      <c r="CA375" s="51"/>
      <c r="CB375" s="51"/>
      <c r="CC375" s="51"/>
      <c r="CD375" s="51"/>
      <c r="CE375" s="51"/>
      <c r="CF375" s="51"/>
      <c r="CG375" s="51"/>
    </row>
    <row r="376" ht="30.0"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c r="BA376" s="51"/>
      <c r="BB376" s="51"/>
      <c r="BC376" s="51"/>
      <c r="BD376" s="51"/>
      <c r="BE376" s="51"/>
      <c r="BF376" s="51"/>
      <c r="BG376" s="51"/>
      <c r="BH376" s="51"/>
      <c r="BI376" s="51"/>
      <c r="BJ376" s="51"/>
      <c r="BK376" s="51"/>
      <c r="BL376" s="51"/>
      <c r="BM376" s="51"/>
      <c r="BN376" s="51"/>
      <c r="BO376" s="51"/>
      <c r="BP376" s="51"/>
      <c r="BQ376" s="51"/>
      <c r="BR376" s="51"/>
      <c r="BS376" s="51"/>
      <c r="BT376" s="51"/>
      <c r="BU376" s="51"/>
      <c r="BV376" s="51"/>
      <c r="BW376" s="51"/>
      <c r="BX376" s="51"/>
      <c r="BY376" s="51"/>
      <c r="BZ376" s="51"/>
      <c r="CA376" s="51"/>
      <c r="CB376" s="51"/>
      <c r="CC376" s="51"/>
      <c r="CD376" s="51"/>
      <c r="CE376" s="51"/>
      <c r="CF376" s="51"/>
      <c r="CG376" s="51"/>
    </row>
    <row r="377" ht="30.0"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c r="BA377" s="51"/>
      <c r="BB377" s="51"/>
      <c r="BC377" s="51"/>
      <c r="BD377" s="51"/>
      <c r="BE377" s="51"/>
      <c r="BF377" s="51"/>
      <c r="BG377" s="51"/>
      <c r="BH377" s="51"/>
      <c r="BI377" s="51"/>
      <c r="BJ377" s="51"/>
      <c r="BK377" s="51"/>
      <c r="BL377" s="51"/>
      <c r="BM377" s="51"/>
      <c r="BN377" s="51"/>
      <c r="BO377" s="51"/>
      <c r="BP377" s="51"/>
      <c r="BQ377" s="51"/>
      <c r="BR377" s="51"/>
      <c r="BS377" s="51"/>
      <c r="BT377" s="51"/>
      <c r="BU377" s="51"/>
      <c r="BV377" s="51"/>
      <c r="BW377" s="51"/>
      <c r="BX377" s="51"/>
      <c r="BY377" s="51"/>
      <c r="BZ377" s="51"/>
      <c r="CA377" s="51"/>
      <c r="CB377" s="51"/>
      <c r="CC377" s="51"/>
      <c r="CD377" s="51"/>
      <c r="CE377" s="51"/>
      <c r="CF377" s="51"/>
      <c r="CG377" s="51"/>
    </row>
    <row r="378" ht="30.0"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c r="BA378" s="51"/>
      <c r="BB378" s="51"/>
      <c r="BC378" s="51"/>
      <c r="BD378" s="51"/>
      <c r="BE378" s="51"/>
      <c r="BF378" s="51"/>
      <c r="BG378" s="51"/>
      <c r="BH378" s="51"/>
      <c r="BI378" s="51"/>
      <c r="BJ378" s="51"/>
      <c r="BK378" s="51"/>
      <c r="BL378" s="51"/>
      <c r="BM378" s="51"/>
      <c r="BN378" s="51"/>
      <c r="BO378" s="51"/>
      <c r="BP378" s="51"/>
      <c r="BQ378" s="51"/>
      <c r="BR378" s="51"/>
      <c r="BS378" s="51"/>
      <c r="BT378" s="51"/>
      <c r="BU378" s="51"/>
      <c r="BV378" s="51"/>
      <c r="BW378" s="51"/>
      <c r="BX378" s="51"/>
      <c r="BY378" s="51"/>
      <c r="BZ378" s="51"/>
      <c r="CA378" s="51"/>
      <c r="CB378" s="51"/>
      <c r="CC378" s="51"/>
      <c r="CD378" s="51"/>
      <c r="CE378" s="51"/>
      <c r="CF378" s="51"/>
      <c r="CG378" s="51"/>
    </row>
    <row r="379" ht="30.0"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c r="BA379" s="51"/>
      <c r="BB379" s="51"/>
      <c r="BC379" s="51"/>
      <c r="BD379" s="51"/>
      <c r="BE379" s="51"/>
      <c r="BF379" s="51"/>
      <c r="BG379" s="51"/>
      <c r="BH379" s="51"/>
      <c r="BI379" s="51"/>
      <c r="BJ379" s="51"/>
      <c r="BK379" s="51"/>
      <c r="BL379" s="51"/>
      <c r="BM379" s="51"/>
      <c r="BN379" s="51"/>
      <c r="BO379" s="51"/>
      <c r="BP379" s="51"/>
      <c r="BQ379" s="51"/>
      <c r="BR379" s="51"/>
      <c r="BS379" s="51"/>
      <c r="BT379" s="51"/>
      <c r="BU379" s="51"/>
      <c r="BV379" s="51"/>
      <c r="BW379" s="51"/>
      <c r="BX379" s="51"/>
      <c r="BY379" s="51"/>
      <c r="BZ379" s="51"/>
      <c r="CA379" s="51"/>
      <c r="CB379" s="51"/>
      <c r="CC379" s="51"/>
      <c r="CD379" s="51"/>
      <c r="CE379" s="51"/>
      <c r="CF379" s="51"/>
      <c r="CG379" s="51"/>
    </row>
    <row r="380" ht="30.0"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c r="BA380" s="51"/>
      <c r="BB380" s="51"/>
      <c r="BC380" s="51"/>
      <c r="BD380" s="51"/>
      <c r="BE380" s="51"/>
      <c r="BF380" s="51"/>
      <c r="BG380" s="51"/>
      <c r="BH380" s="51"/>
      <c r="BI380" s="51"/>
      <c r="BJ380" s="51"/>
      <c r="BK380" s="51"/>
      <c r="BL380" s="51"/>
      <c r="BM380" s="51"/>
      <c r="BN380" s="51"/>
      <c r="BO380" s="51"/>
      <c r="BP380" s="51"/>
      <c r="BQ380" s="51"/>
      <c r="BR380" s="51"/>
      <c r="BS380" s="51"/>
      <c r="BT380" s="51"/>
      <c r="BU380" s="51"/>
      <c r="BV380" s="51"/>
      <c r="BW380" s="51"/>
      <c r="BX380" s="51"/>
      <c r="BY380" s="51"/>
      <c r="BZ380" s="51"/>
      <c r="CA380" s="51"/>
      <c r="CB380" s="51"/>
      <c r="CC380" s="51"/>
      <c r="CD380" s="51"/>
      <c r="CE380" s="51"/>
      <c r="CF380" s="51"/>
      <c r="CG380" s="51"/>
    </row>
    <row r="381" ht="30.0"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c r="BA381" s="51"/>
      <c r="BB381" s="51"/>
      <c r="BC381" s="51"/>
      <c r="BD381" s="51"/>
      <c r="BE381" s="51"/>
      <c r="BF381" s="51"/>
      <c r="BG381" s="51"/>
      <c r="BH381" s="51"/>
      <c r="BI381" s="51"/>
      <c r="BJ381" s="51"/>
      <c r="BK381" s="51"/>
      <c r="BL381" s="51"/>
      <c r="BM381" s="51"/>
      <c r="BN381" s="51"/>
      <c r="BO381" s="51"/>
      <c r="BP381" s="51"/>
      <c r="BQ381" s="51"/>
      <c r="BR381" s="51"/>
      <c r="BS381" s="51"/>
      <c r="BT381" s="51"/>
      <c r="BU381" s="51"/>
      <c r="BV381" s="51"/>
      <c r="BW381" s="51"/>
      <c r="BX381" s="51"/>
      <c r="BY381" s="51"/>
      <c r="BZ381" s="51"/>
      <c r="CA381" s="51"/>
      <c r="CB381" s="51"/>
      <c r="CC381" s="51"/>
      <c r="CD381" s="51"/>
      <c r="CE381" s="51"/>
      <c r="CF381" s="51"/>
      <c r="CG381" s="51"/>
    </row>
    <row r="382" ht="30.0"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c r="BA382" s="51"/>
      <c r="BB382" s="51"/>
      <c r="BC382" s="51"/>
      <c r="BD382" s="51"/>
      <c r="BE382" s="51"/>
      <c r="BF382" s="51"/>
      <c r="BG382" s="51"/>
      <c r="BH382" s="51"/>
      <c r="BI382" s="51"/>
      <c r="BJ382" s="51"/>
      <c r="BK382" s="51"/>
      <c r="BL382" s="51"/>
      <c r="BM382" s="51"/>
      <c r="BN382" s="51"/>
      <c r="BO382" s="51"/>
      <c r="BP382" s="51"/>
      <c r="BQ382" s="51"/>
      <c r="BR382" s="51"/>
      <c r="BS382" s="51"/>
      <c r="BT382" s="51"/>
      <c r="BU382" s="51"/>
      <c r="BV382" s="51"/>
      <c r="BW382" s="51"/>
      <c r="BX382" s="51"/>
      <c r="BY382" s="51"/>
      <c r="BZ382" s="51"/>
      <c r="CA382" s="51"/>
      <c r="CB382" s="51"/>
      <c r="CC382" s="51"/>
      <c r="CD382" s="51"/>
      <c r="CE382" s="51"/>
      <c r="CF382" s="51"/>
      <c r="CG382" s="51"/>
    </row>
    <row r="383" ht="30.0"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c r="BA383" s="51"/>
      <c r="BB383" s="51"/>
      <c r="BC383" s="51"/>
      <c r="BD383" s="51"/>
      <c r="BE383" s="51"/>
      <c r="BF383" s="51"/>
      <c r="BG383" s="51"/>
      <c r="BH383" s="51"/>
      <c r="BI383" s="51"/>
      <c r="BJ383" s="51"/>
      <c r="BK383" s="51"/>
      <c r="BL383" s="51"/>
      <c r="BM383" s="51"/>
      <c r="BN383" s="51"/>
      <c r="BO383" s="51"/>
      <c r="BP383" s="51"/>
      <c r="BQ383" s="51"/>
      <c r="BR383" s="51"/>
      <c r="BS383" s="51"/>
      <c r="BT383" s="51"/>
      <c r="BU383" s="51"/>
      <c r="BV383" s="51"/>
      <c r="BW383" s="51"/>
      <c r="BX383" s="51"/>
      <c r="BY383" s="51"/>
      <c r="BZ383" s="51"/>
      <c r="CA383" s="51"/>
      <c r="CB383" s="51"/>
      <c r="CC383" s="51"/>
      <c r="CD383" s="51"/>
      <c r="CE383" s="51"/>
      <c r="CF383" s="51"/>
      <c r="CG383" s="51"/>
    </row>
    <row r="384" ht="30.0"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c r="BA384" s="51"/>
      <c r="BB384" s="51"/>
      <c r="BC384" s="51"/>
      <c r="BD384" s="51"/>
      <c r="BE384" s="51"/>
      <c r="BF384" s="51"/>
      <c r="BG384" s="51"/>
      <c r="BH384" s="51"/>
      <c r="BI384" s="51"/>
      <c r="BJ384" s="51"/>
      <c r="BK384" s="51"/>
      <c r="BL384" s="51"/>
      <c r="BM384" s="51"/>
      <c r="BN384" s="51"/>
      <c r="BO384" s="51"/>
      <c r="BP384" s="51"/>
      <c r="BQ384" s="51"/>
      <c r="BR384" s="51"/>
      <c r="BS384" s="51"/>
      <c r="BT384" s="51"/>
      <c r="BU384" s="51"/>
      <c r="BV384" s="51"/>
      <c r="BW384" s="51"/>
      <c r="BX384" s="51"/>
      <c r="BY384" s="51"/>
      <c r="BZ384" s="51"/>
      <c r="CA384" s="51"/>
      <c r="CB384" s="51"/>
      <c r="CC384" s="51"/>
      <c r="CD384" s="51"/>
      <c r="CE384" s="51"/>
      <c r="CF384" s="51"/>
      <c r="CG384" s="51"/>
    </row>
    <row r="385" ht="30.0"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c r="BA385" s="51"/>
      <c r="BB385" s="51"/>
      <c r="BC385" s="51"/>
      <c r="BD385" s="51"/>
      <c r="BE385" s="51"/>
      <c r="BF385" s="51"/>
      <c r="BG385" s="51"/>
      <c r="BH385" s="51"/>
      <c r="BI385" s="51"/>
      <c r="BJ385" s="51"/>
      <c r="BK385" s="51"/>
      <c r="BL385" s="51"/>
      <c r="BM385" s="51"/>
      <c r="BN385" s="51"/>
      <c r="BO385" s="51"/>
      <c r="BP385" s="51"/>
      <c r="BQ385" s="51"/>
      <c r="BR385" s="51"/>
      <c r="BS385" s="51"/>
      <c r="BT385" s="51"/>
      <c r="BU385" s="51"/>
      <c r="BV385" s="51"/>
      <c r="BW385" s="51"/>
      <c r="BX385" s="51"/>
      <c r="BY385" s="51"/>
      <c r="BZ385" s="51"/>
      <c r="CA385" s="51"/>
      <c r="CB385" s="51"/>
      <c r="CC385" s="51"/>
      <c r="CD385" s="51"/>
      <c r="CE385" s="51"/>
      <c r="CF385" s="51"/>
      <c r="CG385" s="51"/>
    </row>
    <row r="386" ht="30.0"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c r="BA386" s="51"/>
      <c r="BB386" s="51"/>
      <c r="BC386" s="51"/>
      <c r="BD386" s="51"/>
      <c r="BE386" s="51"/>
      <c r="BF386" s="51"/>
      <c r="BG386" s="51"/>
      <c r="BH386" s="51"/>
      <c r="BI386" s="51"/>
      <c r="BJ386" s="51"/>
      <c r="BK386" s="51"/>
      <c r="BL386" s="51"/>
      <c r="BM386" s="51"/>
      <c r="BN386" s="51"/>
      <c r="BO386" s="51"/>
      <c r="BP386" s="51"/>
      <c r="BQ386" s="51"/>
      <c r="BR386" s="51"/>
      <c r="BS386" s="51"/>
      <c r="BT386" s="51"/>
      <c r="BU386" s="51"/>
      <c r="BV386" s="51"/>
      <c r="BW386" s="51"/>
      <c r="BX386" s="51"/>
      <c r="BY386" s="51"/>
      <c r="BZ386" s="51"/>
      <c r="CA386" s="51"/>
      <c r="CB386" s="51"/>
      <c r="CC386" s="51"/>
      <c r="CD386" s="51"/>
      <c r="CE386" s="51"/>
      <c r="CF386" s="51"/>
      <c r="CG386" s="51"/>
    </row>
    <row r="387" ht="30.0"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c r="BA387" s="51"/>
      <c r="BB387" s="51"/>
      <c r="BC387" s="51"/>
      <c r="BD387" s="51"/>
      <c r="BE387" s="51"/>
      <c r="BF387" s="51"/>
      <c r="BG387" s="51"/>
      <c r="BH387" s="51"/>
      <c r="BI387" s="51"/>
      <c r="BJ387" s="51"/>
      <c r="BK387" s="51"/>
      <c r="BL387" s="51"/>
      <c r="BM387" s="51"/>
      <c r="BN387" s="51"/>
      <c r="BO387" s="51"/>
      <c r="BP387" s="51"/>
      <c r="BQ387" s="51"/>
      <c r="BR387" s="51"/>
      <c r="BS387" s="51"/>
      <c r="BT387" s="51"/>
      <c r="BU387" s="51"/>
      <c r="BV387" s="51"/>
      <c r="BW387" s="51"/>
      <c r="BX387" s="51"/>
      <c r="BY387" s="51"/>
      <c r="BZ387" s="51"/>
      <c r="CA387" s="51"/>
      <c r="CB387" s="51"/>
      <c r="CC387" s="51"/>
      <c r="CD387" s="51"/>
      <c r="CE387" s="51"/>
      <c r="CF387" s="51"/>
      <c r="CG387" s="51"/>
    </row>
    <row r="388" ht="30.0"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c r="BA388" s="51"/>
      <c r="BB388" s="51"/>
      <c r="BC388" s="51"/>
      <c r="BD388" s="51"/>
      <c r="BE388" s="51"/>
      <c r="BF388" s="51"/>
      <c r="BG388" s="51"/>
      <c r="BH388" s="51"/>
      <c r="BI388" s="51"/>
      <c r="BJ388" s="51"/>
      <c r="BK388" s="51"/>
      <c r="BL388" s="51"/>
      <c r="BM388" s="51"/>
      <c r="BN388" s="51"/>
      <c r="BO388" s="51"/>
      <c r="BP388" s="51"/>
      <c r="BQ388" s="51"/>
      <c r="BR388" s="51"/>
      <c r="BS388" s="51"/>
      <c r="BT388" s="51"/>
      <c r="BU388" s="51"/>
      <c r="BV388" s="51"/>
      <c r="BW388" s="51"/>
      <c r="BX388" s="51"/>
      <c r="BY388" s="51"/>
      <c r="BZ388" s="51"/>
      <c r="CA388" s="51"/>
      <c r="CB388" s="51"/>
      <c r="CC388" s="51"/>
      <c r="CD388" s="51"/>
      <c r="CE388" s="51"/>
      <c r="CF388" s="51"/>
      <c r="CG388" s="51"/>
    </row>
    <row r="389" ht="30.0"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c r="BA389" s="51"/>
      <c r="BB389" s="51"/>
      <c r="BC389" s="51"/>
      <c r="BD389" s="51"/>
      <c r="BE389" s="51"/>
      <c r="BF389" s="51"/>
      <c r="BG389" s="51"/>
      <c r="BH389" s="51"/>
      <c r="BI389" s="51"/>
      <c r="BJ389" s="51"/>
      <c r="BK389" s="51"/>
      <c r="BL389" s="51"/>
      <c r="BM389" s="51"/>
      <c r="BN389" s="51"/>
      <c r="BO389" s="51"/>
      <c r="BP389" s="51"/>
      <c r="BQ389" s="51"/>
      <c r="BR389" s="51"/>
      <c r="BS389" s="51"/>
      <c r="BT389" s="51"/>
      <c r="BU389" s="51"/>
      <c r="BV389" s="51"/>
      <c r="BW389" s="51"/>
      <c r="BX389" s="51"/>
      <c r="BY389" s="51"/>
      <c r="BZ389" s="51"/>
      <c r="CA389" s="51"/>
      <c r="CB389" s="51"/>
      <c r="CC389" s="51"/>
      <c r="CD389" s="51"/>
      <c r="CE389" s="51"/>
      <c r="CF389" s="51"/>
      <c r="CG389" s="51"/>
    </row>
    <row r="390" ht="30.0"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c r="BA390" s="51"/>
      <c r="BB390" s="51"/>
      <c r="BC390" s="51"/>
      <c r="BD390" s="51"/>
      <c r="BE390" s="51"/>
      <c r="BF390" s="51"/>
      <c r="BG390" s="51"/>
      <c r="BH390" s="51"/>
      <c r="BI390" s="51"/>
      <c r="BJ390" s="51"/>
      <c r="BK390" s="51"/>
      <c r="BL390" s="51"/>
      <c r="BM390" s="51"/>
      <c r="BN390" s="51"/>
      <c r="BO390" s="51"/>
      <c r="BP390" s="51"/>
      <c r="BQ390" s="51"/>
      <c r="BR390" s="51"/>
      <c r="BS390" s="51"/>
      <c r="BT390" s="51"/>
      <c r="BU390" s="51"/>
      <c r="BV390" s="51"/>
      <c r="BW390" s="51"/>
      <c r="BX390" s="51"/>
      <c r="BY390" s="51"/>
      <c r="BZ390" s="51"/>
      <c r="CA390" s="51"/>
      <c r="CB390" s="51"/>
      <c r="CC390" s="51"/>
      <c r="CD390" s="51"/>
      <c r="CE390" s="51"/>
      <c r="CF390" s="51"/>
      <c r="CG390" s="51"/>
    </row>
    <row r="391" ht="30.0"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c r="BA391" s="51"/>
      <c r="BB391" s="51"/>
      <c r="BC391" s="51"/>
      <c r="BD391" s="51"/>
      <c r="BE391" s="51"/>
      <c r="BF391" s="51"/>
      <c r="BG391" s="51"/>
      <c r="BH391" s="51"/>
      <c r="BI391" s="51"/>
      <c r="BJ391" s="51"/>
      <c r="BK391" s="51"/>
      <c r="BL391" s="51"/>
      <c r="BM391" s="51"/>
      <c r="BN391" s="51"/>
      <c r="BO391" s="51"/>
      <c r="BP391" s="51"/>
      <c r="BQ391" s="51"/>
      <c r="BR391" s="51"/>
      <c r="BS391" s="51"/>
      <c r="BT391" s="51"/>
      <c r="BU391" s="51"/>
      <c r="BV391" s="51"/>
      <c r="BW391" s="51"/>
      <c r="BX391" s="51"/>
      <c r="BY391" s="51"/>
      <c r="BZ391" s="51"/>
      <c r="CA391" s="51"/>
      <c r="CB391" s="51"/>
      <c r="CC391" s="51"/>
      <c r="CD391" s="51"/>
      <c r="CE391" s="51"/>
      <c r="CF391" s="51"/>
      <c r="CG391" s="51"/>
    </row>
    <row r="392" ht="30.0"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c r="BA392" s="51"/>
      <c r="BB392" s="51"/>
      <c r="BC392" s="51"/>
      <c r="BD392" s="51"/>
      <c r="BE392" s="51"/>
      <c r="BF392" s="51"/>
      <c r="BG392" s="51"/>
      <c r="BH392" s="51"/>
      <c r="BI392" s="51"/>
      <c r="BJ392" s="51"/>
      <c r="BK392" s="51"/>
      <c r="BL392" s="51"/>
      <c r="BM392" s="51"/>
      <c r="BN392" s="51"/>
      <c r="BO392" s="51"/>
      <c r="BP392" s="51"/>
      <c r="BQ392" s="51"/>
      <c r="BR392" s="51"/>
      <c r="BS392" s="51"/>
      <c r="BT392" s="51"/>
      <c r="BU392" s="51"/>
      <c r="BV392" s="51"/>
      <c r="BW392" s="51"/>
      <c r="BX392" s="51"/>
      <c r="BY392" s="51"/>
      <c r="BZ392" s="51"/>
      <c r="CA392" s="51"/>
      <c r="CB392" s="51"/>
      <c r="CC392" s="51"/>
      <c r="CD392" s="51"/>
      <c r="CE392" s="51"/>
      <c r="CF392" s="51"/>
      <c r="CG392" s="51"/>
    </row>
    <row r="393" ht="30.0"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c r="BA393" s="51"/>
      <c r="BB393" s="51"/>
      <c r="BC393" s="51"/>
      <c r="BD393" s="51"/>
      <c r="BE393" s="51"/>
      <c r="BF393" s="51"/>
      <c r="BG393" s="51"/>
      <c r="BH393" s="51"/>
      <c r="BI393" s="51"/>
      <c r="BJ393" s="51"/>
      <c r="BK393" s="51"/>
      <c r="BL393" s="51"/>
      <c r="BM393" s="51"/>
      <c r="BN393" s="51"/>
      <c r="BO393" s="51"/>
      <c r="BP393" s="51"/>
      <c r="BQ393" s="51"/>
      <c r="BR393" s="51"/>
      <c r="BS393" s="51"/>
      <c r="BT393" s="51"/>
      <c r="BU393" s="51"/>
      <c r="BV393" s="51"/>
      <c r="BW393" s="51"/>
      <c r="BX393" s="51"/>
      <c r="BY393" s="51"/>
      <c r="BZ393" s="51"/>
      <c r="CA393" s="51"/>
      <c r="CB393" s="51"/>
      <c r="CC393" s="51"/>
      <c r="CD393" s="51"/>
      <c r="CE393" s="51"/>
      <c r="CF393" s="51"/>
      <c r="CG393" s="51"/>
    </row>
    <row r="394" ht="30.0"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c r="BA394" s="51"/>
      <c r="BB394" s="51"/>
      <c r="BC394" s="51"/>
      <c r="BD394" s="51"/>
      <c r="BE394" s="51"/>
      <c r="BF394" s="51"/>
      <c r="BG394" s="51"/>
      <c r="BH394" s="51"/>
      <c r="BI394" s="51"/>
      <c r="BJ394" s="51"/>
      <c r="BK394" s="51"/>
      <c r="BL394" s="51"/>
      <c r="BM394" s="51"/>
      <c r="BN394" s="51"/>
      <c r="BO394" s="51"/>
      <c r="BP394" s="51"/>
      <c r="BQ394" s="51"/>
      <c r="BR394" s="51"/>
      <c r="BS394" s="51"/>
      <c r="BT394" s="51"/>
      <c r="BU394" s="51"/>
      <c r="BV394" s="51"/>
      <c r="BW394" s="51"/>
      <c r="BX394" s="51"/>
      <c r="BY394" s="51"/>
      <c r="BZ394" s="51"/>
      <c r="CA394" s="51"/>
      <c r="CB394" s="51"/>
      <c r="CC394" s="51"/>
      <c r="CD394" s="51"/>
      <c r="CE394" s="51"/>
      <c r="CF394" s="51"/>
      <c r="CG394" s="51"/>
    </row>
    <row r="395" ht="30.0"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c r="BA395" s="51"/>
      <c r="BB395" s="51"/>
      <c r="BC395" s="51"/>
      <c r="BD395" s="51"/>
      <c r="BE395" s="51"/>
      <c r="BF395" s="51"/>
      <c r="BG395" s="51"/>
      <c r="BH395" s="51"/>
      <c r="BI395" s="51"/>
      <c r="BJ395" s="51"/>
      <c r="BK395" s="51"/>
      <c r="BL395" s="51"/>
      <c r="BM395" s="51"/>
      <c r="BN395" s="51"/>
      <c r="BO395" s="51"/>
      <c r="BP395" s="51"/>
      <c r="BQ395" s="51"/>
      <c r="BR395" s="51"/>
      <c r="BS395" s="51"/>
      <c r="BT395" s="51"/>
      <c r="BU395" s="51"/>
      <c r="BV395" s="51"/>
      <c r="BW395" s="51"/>
      <c r="BX395" s="51"/>
      <c r="BY395" s="51"/>
      <c r="BZ395" s="51"/>
      <c r="CA395" s="51"/>
      <c r="CB395" s="51"/>
      <c r="CC395" s="51"/>
      <c r="CD395" s="51"/>
      <c r="CE395" s="51"/>
      <c r="CF395" s="51"/>
      <c r="CG395" s="51"/>
    </row>
    <row r="396" ht="30.0"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c r="BA396" s="51"/>
      <c r="BB396" s="51"/>
      <c r="BC396" s="51"/>
      <c r="BD396" s="51"/>
      <c r="BE396" s="51"/>
      <c r="BF396" s="51"/>
      <c r="BG396" s="51"/>
      <c r="BH396" s="51"/>
      <c r="BI396" s="51"/>
      <c r="BJ396" s="51"/>
      <c r="BK396" s="51"/>
      <c r="BL396" s="51"/>
      <c r="BM396" s="51"/>
      <c r="BN396" s="51"/>
      <c r="BO396" s="51"/>
      <c r="BP396" s="51"/>
      <c r="BQ396" s="51"/>
      <c r="BR396" s="51"/>
      <c r="BS396" s="51"/>
      <c r="BT396" s="51"/>
      <c r="BU396" s="51"/>
      <c r="BV396" s="51"/>
      <c r="BW396" s="51"/>
      <c r="BX396" s="51"/>
      <c r="BY396" s="51"/>
      <c r="BZ396" s="51"/>
      <c r="CA396" s="51"/>
      <c r="CB396" s="51"/>
      <c r="CC396" s="51"/>
      <c r="CD396" s="51"/>
      <c r="CE396" s="51"/>
      <c r="CF396" s="51"/>
      <c r="CG396" s="51"/>
    </row>
    <row r="397" ht="30.0"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c r="BA397" s="51"/>
      <c r="BB397" s="51"/>
      <c r="BC397" s="51"/>
      <c r="BD397" s="51"/>
      <c r="BE397" s="51"/>
      <c r="BF397" s="51"/>
      <c r="BG397" s="51"/>
      <c r="BH397" s="51"/>
      <c r="BI397" s="51"/>
      <c r="BJ397" s="51"/>
      <c r="BK397" s="51"/>
      <c r="BL397" s="51"/>
      <c r="BM397" s="51"/>
      <c r="BN397" s="51"/>
      <c r="BO397" s="51"/>
      <c r="BP397" s="51"/>
      <c r="BQ397" s="51"/>
      <c r="BR397" s="51"/>
      <c r="BS397" s="51"/>
      <c r="BT397" s="51"/>
      <c r="BU397" s="51"/>
      <c r="BV397" s="51"/>
      <c r="BW397" s="51"/>
      <c r="BX397" s="51"/>
      <c r="BY397" s="51"/>
      <c r="BZ397" s="51"/>
      <c r="CA397" s="51"/>
      <c r="CB397" s="51"/>
      <c r="CC397" s="51"/>
      <c r="CD397" s="51"/>
      <c r="CE397" s="51"/>
      <c r="CF397" s="51"/>
      <c r="CG397" s="51"/>
    </row>
    <row r="398" ht="30.0"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c r="BA398" s="51"/>
      <c r="BB398" s="51"/>
      <c r="BC398" s="51"/>
      <c r="BD398" s="51"/>
      <c r="BE398" s="51"/>
      <c r="BF398" s="51"/>
      <c r="BG398" s="51"/>
      <c r="BH398" s="51"/>
      <c r="BI398" s="51"/>
      <c r="BJ398" s="51"/>
      <c r="BK398" s="51"/>
      <c r="BL398" s="51"/>
      <c r="BM398" s="51"/>
      <c r="BN398" s="51"/>
      <c r="BO398" s="51"/>
      <c r="BP398" s="51"/>
      <c r="BQ398" s="51"/>
      <c r="BR398" s="51"/>
      <c r="BS398" s="51"/>
      <c r="BT398" s="51"/>
      <c r="BU398" s="51"/>
      <c r="BV398" s="51"/>
      <c r="BW398" s="51"/>
      <c r="BX398" s="51"/>
      <c r="BY398" s="51"/>
      <c r="BZ398" s="51"/>
      <c r="CA398" s="51"/>
      <c r="CB398" s="51"/>
      <c r="CC398" s="51"/>
      <c r="CD398" s="51"/>
      <c r="CE398" s="51"/>
      <c r="CF398" s="51"/>
      <c r="CG398" s="51"/>
    </row>
    <row r="399" ht="30.0"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c r="BA399" s="51"/>
      <c r="BB399" s="51"/>
      <c r="BC399" s="51"/>
      <c r="BD399" s="51"/>
      <c r="BE399" s="51"/>
      <c r="BF399" s="51"/>
      <c r="BG399" s="51"/>
      <c r="BH399" s="51"/>
      <c r="BI399" s="51"/>
      <c r="BJ399" s="51"/>
      <c r="BK399" s="51"/>
      <c r="BL399" s="51"/>
      <c r="BM399" s="51"/>
      <c r="BN399" s="51"/>
      <c r="BO399" s="51"/>
      <c r="BP399" s="51"/>
      <c r="BQ399" s="51"/>
      <c r="BR399" s="51"/>
      <c r="BS399" s="51"/>
      <c r="BT399" s="51"/>
      <c r="BU399" s="51"/>
      <c r="BV399" s="51"/>
      <c r="BW399" s="51"/>
      <c r="BX399" s="51"/>
      <c r="BY399" s="51"/>
      <c r="BZ399" s="51"/>
      <c r="CA399" s="51"/>
      <c r="CB399" s="51"/>
      <c r="CC399" s="51"/>
      <c r="CD399" s="51"/>
      <c r="CE399" s="51"/>
      <c r="CF399" s="51"/>
      <c r="CG399" s="51"/>
    </row>
    <row r="400" ht="30.0"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c r="BA400" s="51"/>
      <c r="BB400" s="51"/>
      <c r="BC400" s="51"/>
      <c r="BD400" s="51"/>
      <c r="BE400" s="51"/>
      <c r="BF400" s="51"/>
      <c r="BG400" s="51"/>
      <c r="BH400" s="51"/>
      <c r="BI400" s="51"/>
      <c r="BJ400" s="51"/>
      <c r="BK400" s="51"/>
      <c r="BL400" s="51"/>
      <c r="BM400" s="51"/>
      <c r="BN400" s="51"/>
      <c r="BO400" s="51"/>
      <c r="BP400" s="51"/>
      <c r="BQ400" s="51"/>
      <c r="BR400" s="51"/>
      <c r="BS400" s="51"/>
      <c r="BT400" s="51"/>
      <c r="BU400" s="51"/>
      <c r="BV400" s="51"/>
      <c r="BW400" s="51"/>
      <c r="BX400" s="51"/>
      <c r="BY400" s="51"/>
      <c r="BZ400" s="51"/>
      <c r="CA400" s="51"/>
      <c r="CB400" s="51"/>
      <c r="CC400" s="51"/>
      <c r="CD400" s="51"/>
      <c r="CE400" s="51"/>
      <c r="CF400" s="51"/>
      <c r="CG400" s="51"/>
    </row>
    <row r="401" ht="30.0"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c r="BA401" s="51"/>
      <c r="BB401" s="51"/>
      <c r="BC401" s="51"/>
      <c r="BD401" s="51"/>
      <c r="BE401" s="51"/>
      <c r="BF401" s="51"/>
      <c r="BG401" s="51"/>
      <c r="BH401" s="51"/>
      <c r="BI401" s="51"/>
      <c r="BJ401" s="51"/>
      <c r="BK401" s="51"/>
      <c r="BL401" s="51"/>
      <c r="BM401" s="51"/>
      <c r="BN401" s="51"/>
      <c r="BO401" s="51"/>
      <c r="BP401" s="51"/>
      <c r="BQ401" s="51"/>
      <c r="BR401" s="51"/>
      <c r="BS401" s="51"/>
      <c r="BT401" s="51"/>
      <c r="BU401" s="51"/>
      <c r="BV401" s="51"/>
      <c r="BW401" s="51"/>
      <c r="BX401" s="51"/>
      <c r="BY401" s="51"/>
      <c r="BZ401" s="51"/>
      <c r="CA401" s="51"/>
      <c r="CB401" s="51"/>
      <c r="CC401" s="51"/>
      <c r="CD401" s="51"/>
      <c r="CE401" s="51"/>
      <c r="CF401" s="51"/>
      <c r="CG401" s="51"/>
    </row>
    <row r="402" ht="30.0"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c r="BA402" s="51"/>
      <c r="BB402" s="51"/>
      <c r="BC402" s="51"/>
      <c r="BD402" s="51"/>
      <c r="BE402" s="51"/>
      <c r="BF402" s="51"/>
      <c r="BG402" s="51"/>
      <c r="BH402" s="51"/>
      <c r="BI402" s="51"/>
      <c r="BJ402" s="51"/>
      <c r="BK402" s="51"/>
      <c r="BL402" s="51"/>
      <c r="BM402" s="51"/>
      <c r="BN402" s="51"/>
      <c r="BO402" s="51"/>
      <c r="BP402" s="51"/>
      <c r="BQ402" s="51"/>
      <c r="BR402" s="51"/>
      <c r="BS402" s="51"/>
      <c r="BT402" s="51"/>
      <c r="BU402" s="51"/>
      <c r="BV402" s="51"/>
      <c r="BW402" s="51"/>
      <c r="BX402" s="51"/>
      <c r="BY402" s="51"/>
      <c r="BZ402" s="51"/>
      <c r="CA402" s="51"/>
      <c r="CB402" s="51"/>
      <c r="CC402" s="51"/>
      <c r="CD402" s="51"/>
      <c r="CE402" s="51"/>
      <c r="CF402" s="51"/>
      <c r="CG402" s="51"/>
    </row>
    <row r="403" ht="30.0"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c r="BA403" s="51"/>
      <c r="BB403" s="51"/>
      <c r="BC403" s="51"/>
      <c r="BD403" s="51"/>
      <c r="BE403" s="51"/>
      <c r="BF403" s="51"/>
      <c r="BG403" s="51"/>
      <c r="BH403" s="51"/>
      <c r="BI403" s="51"/>
      <c r="BJ403" s="51"/>
      <c r="BK403" s="51"/>
      <c r="BL403" s="51"/>
      <c r="BM403" s="51"/>
      <c r="BN403" s="51"/>
      <c r="BO403" s="51"/>
      <c r="BP403" s="51"/>
      <c r="BQ403" s="51"/>
      <c r="BR403" s="51"/>
      <c r="BS403" s="51"/>
      <c r="BT403" s="51"/>
      <c r="BU403" s="51"/>
      <c r="BV403" s="51"/>
      <c r="BW403" s="51"/>
      <c r="BX403" s="51"/>
      <c r="BY403" s="51"/>
      <c r="BZ403" s="51"/>
      <c r="CA403" s="51"/>
      <c r="CB403" s="51"/>
      <c r="CC403" s="51"/>
      <c r="CD403" s="51"/>
      <c r="CE403" s="51"/>
      <c r="CF403" s="51"/>
      <c r="CG403" s="51"/>
    </row>
    <row r="404" ht="30.0"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c r="BA404" s="51"/>
      <c r="BB404" s="51"/>
      <c r="BC404" s="51"/>
      <c r="BD404" s="51"/>
      <c r="BE404" s="51"/>
      <c r="BF404" s="51"/>
      <c r="BG404" s="51"/>
      <c r="BH404" s="51"/>
      <c r="BI404" s="51"/>
      <c r="BJ404" s="51"/>
      <c r="BK404" s="51"/>
      <c r="BL404" s="51"/>
      <c r="BM404" s="51"/>
      <c r="BN404" s="51"/>
      <c r="BO404" s="51"/>
      <c r="BP404" s="51"/>
      <c r="BQ404" s="51"/>
      <c r="BR404" s="51"/>
      <c r="BS404" s="51"/>
      <c r="BT404" s="51"/>
      <c r="BU404" s="51"/>
      <c r="BV404" s="51"/>
      <c r="BW404" s="51"/>
      <c r="BX404" s="51"/>
      <c r="BY404" s="51"/>
      <c r="BZ404" s="51"/>
      <c r="CA404" s="51"/>
      <c r="CB404" s="51"/>
      <c r="CC404" s="51"/>
      <c r="CD404" s="51"/>
      <c r="CE404" s="51"/>
      <c r="CF404" s="51"/>
      <c r="CG404" s="51"/>
    </row>
    <row r="405" ht="30.0"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1"/>
      <c r="BB405" s="51"/>
      <c r="BC405" s="51"/>
      <c r="BD405" s="51"/>
      <c r="BE405" s="51"/>
      <c r="BF405" s="51"/>
      <c r="BG405" s="51"/>
      <c r="BH405" s="51"/>
      <c r="BI405" s="51"/>
      <c r="BJ405" s="51"/>
      <c r="BK405" s="51"/>
      <c r="BL405" s="51"/>
      <c r="BM405" s="51"/>
      <c r="BN405" s="51"/>
      <c r="BO405" s="51"/>
      <c r="BP405" s="51"/>
      <c r="BQ405" s="51"/>
      <c r="BR405" s="51"/>
      <c r="BS405" s="51"/>
      <c r="BT405" s="51"/>
      <c r="BU405" s="51"/>
      <c r="BV405" s="51"/>
      <c r="BW405" s="51"/>
      <c r="BX405" s="51"/>
      <c r="BY405" s="51"/>
      <c r="BZ405" s="51"/>
      <c r="CA405" s="51"/>
      <c r="CB405" s="51"/>
      <c r="CC405" s="51"/>
      <c r="CD405" s="51"/>
      <c r="CE405" s="51"/>
      <c r="CF405" s="51"/>
      <c r="CG405" s="51"/>
    </row>
    <row r="406" ht="30.0"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c r="BA406" s="51"/>
      <c r="BB406" s="51"/>
      <c r="BC406" s="51"/>
      <c r="BD406" s="51"/>
      <c r="BE406" s="51"/>
      <c r="BF406" s="51"/>
      <c r="BG406" s="51"/>
      <c r="BH406" s="51"/>
      <c r="BI406" s="51"/>
      <c r="BJ406" s="51"/>
      <c r="BK406" s="51"/>
      <c r="BL406" s="51"/>
      <c r="BM406" s="51"/>
      <c r="BN406" s="51"/>
      <c r="BO406" s="51"/>
      <c r="BP406" s="51"/>
      <c r="BQ406" s="51"/>
      <c r="BR406" s="51"/>
      <c r="BS406" s="51"/>
      <c r="BT406" s="51"/>
      <c r="BU406" s="51"/>
      <c r="BV406" s="51"/>
      <c r="BW406" s="51"/>
      <c r="BX406" s="51"/>
      <c r="BY406" s="51"/>
      <c r="BZ406" s="51"/>
      <c r="CA406" s="51"/>
      <c r="CB406" s="51"/>
      <c r="CC406" s="51"/>
      <c r="CD406" s="51"/>
      <c r="CE406" s="51"/>
      <c r="CF406" s="51"/>
      <c r="CG406" s="51"/>
    </row>
    <row r="407" ht="30.0"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c r="BA407" s="51"/>
      <c r="BB407" s="51"/>
      <c r="BC407" s="51"/>
      <c r="BD407" s="51"/>
      <c r="BE407" s="51"/>
      <c r="BF407" s="51"/>
      <c r="BG407" s="51"/>
      <c r="BH407" s="51"/>
      <c r="BI407" s="51"/>
      <c r="BJ407" s="51"/>
      <c r="BK407" s="51"/>
      <c r="BL407" s="51"/>
      <c r="BM407" s="51"/>
      <c r="BN407" s="51"/>
      <c r="BO407" s="51"/>
      <c r="BP407" s="51"/>
      <c r="BQ407" s="51"/>
      <c r="BR407" s="51"/>
      <c r="BS407" s="51"/>
      <c r="BT407" s="51"/>
      <c r="BU407" s="51"/>
      <c r="BV407" s="51"/>
      <c r="BW407" s="51"/>
      <c r="BX407" s="51"/>
      <c r="BY407" s="51"/>
      <c r="BZ407" s="51"/>
      <c r="CA407" s="51"/>
      <c r="CB407" s="51"/>
      <c r="CC407" s="51"/>
      <c r="CD407" s="51"/>
      <c r="CE407" s="51"/>
      <c r="CF407" s="51"/>
      <c r="CG407" s="51"/>
    </row>
    <row r="408" ht="30.0"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c r="BA408" s="51"/>
      <c r="BB408" s="51"/>
      <c r="BC408" s="51"/>
      <c r="BD408" s="51"/>
      <c r="BE408" s="51"/>
      <c r="BF408" s="51"/>
      <c r="BG408" s="51"/>
      <c r="BH408" s="51"/>
      <c r="BI408" s="51"/>
      <c r="BJ408" s="51"/>
      <c r="BK408" s="51"/>
      <c r="BL408" s="51"/>
      <c r="BM408" s="51"/>
      <c r="BN408" s="51"/>
      <c r="BO408" s="51"/>
      <c r="BP408" s="51"/>
      <c r="BQ408" s="51"/>
      <c r="BR408" s="51"/>
      <c r="BS408" s="51"/>
      <c r="BT408" s="51"/>
      <c r="BU408" s="51"/>
      <c r="BV408" s="51"/>
      <c r="BW408" s="51"/>
      <c r="BX408" s="51"/>
      <c r="BY408" s="51"/>
      <c r="BZ408" s="51"/>
      <c r="CA408" s="51"/>
      <c r="CB408" s="51"/>
      <c r="CC408" s="51"/>
      <c r="CD408" s="51"/>
      <c r="CE408" s="51"/>
      <c r="CF408" s="51"/>
      <c r="CG408" s="51"/>
    </row>
    <row r="409" ht="30.0"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c r="BA409" s="51"/>
      <c r="BB409" s="51"/>
      <c r="BC409" s="51"/>
      <c r="BD409" s="51"/>
      <c r="BE409" s="51"/>
      <c r="BF409" s="51"/>
      <c r="BG409" s="51"/>
      <c r="BH409" s="51"/>
      <c r="BI409" s="51"/>
      <c r="BJ409" s="51"/>
      <c r="BK409" s="51"/>
      <c r="BL409" s="51"/>
      <c r="BM409" s="51"/>
      <c r="BN409" s="51"/>
      <c r="BO409" s="51"/>
      <c r="BP409" s="51"/>
      <c r="BQ409" s="51"/>
      <c r="BR409" s="51"/>
      <c r="BS409" s="51"/>
      <c r="BT409" s="51"/>
      <c r="BU409" s="51"/>
      <c r="BV409" s="51"/>
      <c r="BW409" s="51"/>
      <c r="BX409" s="51"/>
      <c r="BY409" s="51"/>
      <c r="BZ409" s="51"/>
      <c r="CA409" s="51"/>
      <c r="CB409" s="51"/>
      <c r="CC409" s="51"/>
      <c r="CD409" s="51"/>
      <c r="CE409" s="51"/>
      <c r="CF409" s="51"/>
      <c r="CG409" s="51"/>
    </row>
    <row r="410" ht="30.0"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c r="BA410" s="51"/>
      <c r="BB410" s="51"/>
      <c r="BC410" s="51"/>
      <c r="BD410" s="51"/>
      <c r="BE410" s="51"/>
      <c r="BF410" s="51"/>
      <c r="BG410" s="51"/>
      <c r="BH410" s="51"/>
      <c r="BI410" s="51"/>
      <c r="BJ410" s="51"/>
      <c r="BK410" s="51"/>
      <c r="BL410" s="51"/>
      <c r="BM410" s="51"/>
      <c r="BN410" s="51"/>
      <c r="BO410" s="51"/>
      <c r="BP410" s="51"/>
      <c r="BQ410" s="51"/>
      <c r="BR410" s="51"/>
      <c r="BS410" s="51"/>
      <c r="BT410" s="51"/>
      <c r="BU410" s="51"/>
      <c r="BV410" s="51"/>
      <c r="BW410" s="51"/>
      <c r="BX410" s="51"/>
      <c r="BY410" s="51"/>
      <c r="BZ410" s="51"/>
      <c r="CA410" s="51"/>
      <c r="CB410" s="51"/>
      <c r="CC410" s="51"/>
      <c r="CD410" s="51"/>
      <c r="CE410" s="51"/>
      <c r="CF410" s="51"/>
      <c r="CG410" s="51"/>
    </row>
    <row r="411" ht="30.0"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c r="BA411" s="51"/>
      <c r="BB411" s="51"/>
      <c r="BC411" s="51"/>
      <c r="BD411" s="51"/>
      <c r="BE411" s="51"/>
      <c r="BF411" s="51"/>
      <c r="BG411" s="51"/>
      <c r="BH411" s="51"/>
      <c r="BI411" s="51"/>
      <c r="BJ411" s="51"/>
      <c r="BK411" s="51"/>
      <c r="BL411" s="51"/>
      <c r="BM411" s="51"/>
      <c r="BN411" s="51"/>
      <c r="BO411" s="51"/>
      <c r="BP411" s="51"/>
      <c r="BQ411" s="51"/>
      <c r="BR411" s="51"/>
      <c r="BS411" s="51"/>
      <c r="BT411" s="51"/>
      <c r="BU411" s="51"/>
      <c r="BV411" s="51"/>
      <c r="BW411" s="51"/>
      <c r="BX411" s="51"/>
      <c r="BY411" s="51"/>
      <c r="BZ411" s="51"/>
      <c r="CA411" s="51"/>
      <c r="CB411" s="51"/>
      <c r="CC411" s="51"/>
      <c r="CD411" s="51"/>
      <c r="CE411" s="51"/>
      <c r="CF411" s="51"/>
      <c r="CG411" s="51"/>
    </row>
    <row r="412" ht="30.0"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c r="BA412" s="51"/>
      <c r="BB412" s="51"/>
      <c r="BC412" s="51"/>
      <c r="BD412" s="51"/>
      <c r="BE412" s="51"/>
      <c r="BF412" s="51"/>
      <c r="BG412" s="51"/>
      <c r="BH412" s="51"/>
      <c r="BI412" s="51"/>
      <c r="BJ412" s="51"/>
      <c r="BK412" s="51"/>
      <c r="BL412" s="51"/>
      <c r="BM412" s="51"/>
      <c r="BN412" s="51"/>
      <c r="BO412" s="51"/>
      <c r="BP412" s="51"/>
      <c r="BQ412" s="51"/>
      <c r="BR412" s="51"/>
      <c r="BS412" s="51"/>
      <c r="BT412" s="51"/>
      <c r="BU412" s="51"/>
      <c r="BV412" s="51"/>
      <c r="BW412" s="51"/>
      <c r="BX412" s="51"/>
      <c r="BY412" s="51"/>
      <c r="BZ412" s="51"/>
      <c r="CA412" s="51"/>
      <c r="CB412" s="51"/>
      <c r="CC412" s="51"/>
      <c r="CD412" s="51"/>
      <c r="CE412" s="51"/>
      <c r="CF412" s="51"/>
      <c r="CG412" s="51"/>
    </row>
    <row r="413" ht="30.0"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c r="BA413" s="51"/>
      <c r="BB413" s="51"/>
      <c r="BC413" s="51"/>
      <c r="BD413" s="51"/>
      <c r="BE413" s="51"/>
      <c r="BF413" s="51"/>
      <c r="BG413" s="51"/>
      <c r="BH413" s="51"/>
      <c r="BI413" s="51"/>
      <c r="BJ413" s="51"/>
      <c r="BK413" s="51"/>
      <c r="BL413" s="51"/>
      <c r="BM413" s="51"/>
      <c r="BN413" s="51"/>
      <c r="BO413" s="51"/>
      <c r="BP413" s="51"/>
      <c r="BQ413" s="51"/>
      <c r="BR413" s="51"/>
      <c r="BS413" s="51"/>
      <c r="BT413" s="51"/>
      <c r="BU413" s="51"/>
      <c r="BV413" s="51"/>
      <c r="BW413" s="51"/>
      <c r="BX413" s="51"/>
      <c r="BY413" s="51"/>
      <c r="BZ413" s="51"/>
      <c r="CA413" s="51"/>
      <c r="CB413" s="51"/>
      <c r="CC413" s="51"/>
      <c r="CD413" s="51"/>
      <c r="CE413" s="51"/>
      <c r="CF413" s="51"/>
      <c r="CG413" s="51"/>
    </row>
    <row r="414" ht="30.0"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c r="BA414" s="51"/>
      <c r="BB414" s="51"/>
      <c r="BC414" s="51"/>
      <c r="BD414" s="51"/>
      <c r="BE414" s="51"/>
      <c r="BF414" s="51"/>
      <c r="BG414" s="51"/>
      <c r="BH414" s="51"/>
      <c r="BI414" s="51"/>
      <c r="BJ414" s="51"/>
      <c r="BK414" s="51"/>
      <c r="BL414" s="51"/>
      <c r="BM414" s="51"/>
      <c r="BN414" s="51"/>
      <c r="BO414" s="51"/>
      <c r="BP414" s="51"/>
      <c r="BQ414" s="51"/>
      <c r="BR414" s="51"/>
      <c r="BS414" s="51"/>
      <c r="BT414" s="51"/>
      <c r="BU414" s="51"/>
      <c r="BV414" s="51"/>
      <c r="BW414" s="51"/>
      <c r="BX414" s="51"/>
      <c r="BY414" s="51"/>
      <c r="BZ414" s="51"/>
      <c r="CA414" s="51"/>
      <c r="CB414" s="51"/>
      <c r="CC414" s="51"/>
      <c r="CD414" s="51"/>
      <c r="CE414" s="51"/>
      <c r="CF414" s="51"/>
      <c r="CG414" s="51"/>
    </row>
    <row r="415" ht="30.0"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c r="BA415" s="51"/>
      <c r="BB415" s="51"/>
      <c r="BC415" s="51"/>
      <c r="BD415" s="51"/>
      <c r="BE415" s="51"/>
      <c r="BF415" s="51"/>
      <c r="BG415" s="51"/>
      <c r="BH415" s="51"/>
      <c r="BI415" s="51"/>
      <c r="BJ415" s="51"/>
      <c r="BK415" s="51"/>
      <c r="BL415" s="51"/>
      <c r="BM415" s="51"/>
      <c r="BN415" s="51"/>
      <c r="BO415" s="51"/>
      <c r="BP415" s="51"/>
      <c r="BQ415" s="51"/>
      <c r="BR415" s="51"/>
      <c r="BS415" s="51"/>
      <c r="BT415" s="51"/>
      <c r="BU415" s="51"/>
      <c r="BV415" s="51"/>
      <c r="BW415" s="51"/>
      <c r="BX415" s="51"/>
      <c r="BY415" s="51"/>
      <c r="BZ415" s="51"/>
      <c r="CA415" s="51"/>
      <c r="CB415" s="51"/>
      <c r="CC415" s="51"/>
      <c r="CD415" s="51"/>
      <c r="CE415" s="51"/>
      <c r="CF415" s="51"/>
      <c r="CG415" s="51"/>
    </row>
    <row r="416" ht="30.0"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c r="BA416" s="51"/>
      <c r="BB416" s="51"/>
      <c r="BC416" s="51"/>
      <c r="BD416" s="51"/>
      <c r="BE416" s="51"/>
      <c r="BF416" s="51"/>
      <c r="BG416" s="51"/>
      <c r="BH416" s="51"/>
      <c r="BI416" s="51"/>
      <c r="BJ416" s="51"/>
      <c r="BK416" s="51"/>
      <c r="BL416" s="51"/>
      <c r="BM416" s="51"/>
      <c r="BN416" s="51"/>
      <c r="BO416" s="51"/>
      <c r="BP416" s="51"/>
      <c r="BQ416" s="51"/>
      <c r="BR416" s="51"/>
      <c r="BS416" s="51"/>
      <c r="BT416" s="51"/>
      <c r="BU416" s="51"/>
      <c r="BV416" s="51"/>
      <c r="BW416" s="51"/>
      <c r="BX416" s="51"/>
      <c r="BY416" s="51"/>
      <c r="BZ416" s="51"/>
      <c r="CA416" s="51"/>
      <c r="CB416" s="51"/>
      <c r="CC416" s="51"/>
      <c r="CD416" s="51"/>
      <c r="CE416" s="51"/>
      <c r="CF416" s="51"/>
      <c r="CG416" s="51"/>
    </row>
    <row r="417" ht="30.0"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c r="BA417" s="51"/>
      <c r="BB417" s="51"/>
      <c r="BC417" s="51"/>
      <c r="BD417" s="51"/>
      <c r="BE417" s="51"/>
      <c r="BF417" s="51"/>
      <c r="BG417" s="51"/>
      <c r="BH417" s="51"/>
      <c r="BI417" s="51"/>
      <c r="BJ417" s="51"/>
      <c r="BK417" s="51"/>
      <c r="BL417" s="51"/>
      <c r="BM417" s="51"/>
      <c r="BN417" s="51"/>
      <c r="BO417" s="51"/>
      <c r="BP417" s="51"/>
      <c r="BQ417" s="51"/>
      <c r="BR417" s="51"/>
      <c r="BS417" s="51"/>
      <c r="BT417" s="51"/>
      <c r="BU417" s="51"/>
      <c r="BV417" s="51"/>
      <c r="BW417" s="51"/>
      <c r="BX417" s="51"/>
      <c r="BY417" s="51"/>
      <c r="BZ417" s="51"/>
      <c r="CA417" s="51"/>
      <c r="CB417" s="51"/>
      <c r="CC417" s="51"/>
      <c r="CD417" s="51"/>
      <c r="CE417" s="51"/>
      <c r="CF417" s="51"/>
      <c r="CG417" s="51"/>
    </row>
    <row r="418" ht="30.0"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c r="BA418" s="51"/>
      <c r="BB418" s="51"/>
      <c r="BC418" s="51"/>
      <c r="BD418" s="51"/>
      <c r="BE418" s="51"/>
      <c r="BF418" s="51"/>
      <c r="BG418" s="51"/>
      <c r="BH418" s="51"/>
      <c r="BI418" s="51"/>
      <c r="BJ418" s="51"/>
      <c r="BK418" s="51"/>
      <c r="BL418" s="51"/>
      <c r="BM418" s="51"/>
      <c r="BN418" s="51"/>
      <c r="BO418" s="51"/>
      <c r="BP418" s="51"/>
      <c r="BQ418" s="51"/>
      <c r="BR418" s="51"/>
      <c r="BS418" s="51"/>
      <c r="BT418" s="51"/>
      <c r="BU418" s="51"/>
      <c r="BV418" s="51"/>
      <c r="BW418" s="51"/>
      <c r="BX418" s="51"/>
      <c r="BY418" s="51"/>
      <c r="BZ418" s="51"/>
      <c r="CA418" s="51"/>
      <c r="CB418" s="51"/>
      <c r="CC418" s="51"/>
      <c r="CD418" s="51"/>
      <c r="CE418" s="51"/>
      <c r="CF418" s="51"/>
      <c r="CG418" s="51"/>
    </row>
    <row r="419" ht="30.0"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c r="BA419" s="51"/>
      <c r="BB419" s="51"/>
      <c r="BC419" s="51"/>
      <c r="BD419" s="51"/>
      <c r="BE419" s="51"/>
      <c r="BF419" s="51"/>
      <c r="BG419" s="51"/>
      <c r="BH419" s="51"/>
      <c r="BI419" s="51"/>
      <c r="BJ419" s="51"/>
      <c r="BK419" s="51"/>
      <c r="BL419" s="51"/>
      <c r="BM419" s="51"/>
      <c r="BN419" s="51"/>
      <c r="BO419" s="51"/>
      <c r="BP419" s="51"/>
      <c r="BQ419" s="51"/>
      <c r="BR419" s="51"/>
      <c r="BS419" s="51"/>
      <c r="BT419" s="51"/>
      <c r="BU419" s="51"/>
      <c r="BV419" s="51"/>
      <c r="BW419" s="51"/>
      <c r="BX419" s="51"/>
      <c r="BY419" s="51"/>
      <c r="BZ419" s="51"/>
      <c r="CA419" s="51"/>
      <c r="CB419" s="51"/>
      <c r="CC419" s="51"/>
      <c r="CD419" s="51"/>
      <c r="CE419" s="51"/>
      <c r="CF419" s="51"/>
      <c r="CG419" s="51"/>
    </row>
    <row r="420" ht="30.0"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c r="BA420" s="51"/>
      <c r="BB420" s="51"/>
      <c r="BC420" s="51"/>
      <c r="BD420" s="51"/>
      <c r="BE420" s="51"/>
      <c r="BF420" s="51"/>
      <c r="BG420" s="51"/>
      <c r="BH420" s="51"/>
      <c r="BI420" s="51"/>
      <c r="BJ420" s="51"/>
      <c r="BK420" s="51"/>
      <c r="BL420" s="51"/>
      <c r="BM420" s="51"/>
      <c r="BN420" s="51"/>
      <c r="BO420" s="51"/>
      <c r="BP420" s="51"/>
      <c r="BQ420" s="51"/>
      <c r="BR420" s="51"/>
      <c r="BS420" s="51"/>
      <c r="BT420" s="51"/>
      <c r="BU420" s="51"/>
      <c r="BV420" s="51"/>
      <c r="BW420" s="51"/>
      <c r="BX420" s="51"/>
      <c r="BY420" s="51"/>
      <c r="BZ420" s="51"/>
      <c r="CA420" s="51"/>
      <c r="CB420" s="51"/>
      <c r="CC420" s="51"/>
      <c r="CD420" s="51"/>
      <c r="CE420" s="51"/>
      <c r="CF420" s="51"/>
      <c r="CG420" s="51"/>
    </row>
    <row r="421" ht="30.0"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c r="BA421" s="51"/>
      <c r="BB421" s="51"/>
      <c r="BC421" s="51"/>
      <c r="BD421" s="51"/>
      <c r="BE421" s="51"/>
      <c r="BF421" s="51"/>
      <c r="BG421" s="51"/>
      <c r="BH421" s="51"/>
      <c r="BI421" s="51"/>
      <c r="BJ421" s="51"/>
      <c r="BK421" s="51"/>
      <c r="BL421" s="51"/>
      <c r="BM421" s="51"/>
      <c r="BN421" s="51"/>
      <c r="BO421" s="51"/>
      <c r="BP421" s="51"/>
      <c r="BQ421" s="51"/>
      <c r="BR421" s="51"/>
      <c r="BS421" s="51"/>
      <c r="BT421" s="51"/>
      <c r="BU421" s="51"/>
      <c r="BV421" s="51"/>
      <c r="BW421" s="51"/>
      <c r="BX421" s="51"/>
      <c r="BY421" s="51"/>
      <c r="BZ421" s="51"/>
      <c r="CA421" s="51"/>
      <c r="CB421" s="51"/>
      <c r="CC421" s="51"/>
      <c r="CD421" s="51"/>
      <c r="CE421" s="51"/>
      <c r="CF421" s="51"/>
      <c r="CG421" s="51"/>
    </row>
    <row r="422" ht="30.0"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c r="BA422" s="51"/>
      <c r="BB422" s="51"/>
      <c r="BC422" s="51"/>
      <c r="BD422" s="51"/>
      <c r="BE422" s="51"/>
      <c r="BF422" s="51"/>
      <c r="BG422" s="51"/>
      <c r="BH422" s="51"/>
      <c r="BI422" s="51"/>
      <c r="BJ422" s="51"/>
      <c r="BK422" s="51"/>
      <c r="BL422" s="51"/>
      <c r="BM422" s="51"/>
      <c r="BN422" s="51"/>
      <c r="BO422" s="51"/>
      <c r="BP422" s="51"/>
      <c r="BQ422" s="51"/>
      <c r="BR422" s="51"/>
      <c r="BS422" s="51"/>
      <c r="BT422" s="51"/>
      <c r="BU422" s="51"/>
      <c r="BV422" s="51"/>
      <c r="BW422" s="51"/>
      <c r="BX422" s="51"/>
      <c r="BY422" s="51"/>
      <c r="BZ422" s="51"/>
      <c r="CA422" s="51"/>
      <c r="CB422" s="51"/>
      <c r="CC422" s="51"/>
      <c r="CD422" s="51"/>
      <c r="CE422" s="51"/>
      <c r="CF422" s="51"/>
      <c r="CG422" s="51"/>
    </row>
    <row r="423" ht="30.0"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c r="BA423" s="51"/>
      <c r="BB423" s="51"/>
      <c r="BC423" s="51"/>
      <c r="BD423" s="51"/>
      <c r="BE423" s="51"/>
      <c r="BF423" s="51"/>
      <c r="BG423" s="51"/>
      <c r="BH423" s="51"/>
      <c r="BI423" s="51"/>
      <c r="BJ423" s="51"/>
      <c r="BK423" s="51"/>
      <c r="BL423" s="51"/>
      <c r="BM423" s="51"/>
      <c r="BN423" s="51"/>
      <c r="BO423" s="51"/>
      <c r="BP423" s="51"/>
      <c r="BQ423" s="51"/>
      <c r="BR423" s="51"/>
      <c r="BS423" s="51"/>
      <c r="BT423" s="51"/>
      <c r="BU423" s="51"/>
      <c r="BV423" s="51"/>
      <c r="BW423" s="51"/>
      <c r="BX423" s="51"/>
      <c r="BY423" s="51"/>
      <c r="BZ423" s="51"/>
      <c r="CA423" s="51"/>
      <c r="CB423" s="51"/>
      <c r="CC423" s="51"/>
      <c r="CD423" s="51"/>
      <c r="CE423" s="51"/>
      <c r="CF423" s="51"/>
      <c r="CG423" s="51"/>
    </row>
    <row r="424" ht="30.0"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c r="BA424" s="51"/>
      <c r="BB424" s="51"/>
      <c r="BC424" s="51"/>
      <c r="BD424" s="51"/>
      <c r="BE424" s="51"/>
      <c r="BF424" s="51"/>
      <c r="BG424" s="51"/>
      <c r="BH424" s="51"/>
      <c r="BI424" s="51"/>
      <c r="BJ424" s="51"/>
      <c r="BK424" s="51"/>
      <c r="BL424" s="51"/>
      <c r="BM424" s="51"/>
      <c r="BN424" s="51"/>
      <c r="BO424" s="51"/>
      <c r="BP424" s="51"/>
      <c r="BQ424" s="51"/>
      <c r="BR424" s="51"/>
      <c r="BS424" s="51"/>
      <c r="BT424" s="51"/>
      <c r="BU424" s="51"/>
      <c r="BV424" s="51"/>
      <c r="BW424" s="51"/>
      <c r="BX424" s="51"/>
      <c r="BY424" s="51"/>
      <c r="BZ424" s="51"/>
      <c r="CA424" s="51"/>
      <c r="CB424" s="51"/>
      <c r="CC424" s="51"/>
      <c r="CD424" s="51"/>
      <c r="CE424" s="51"/>
      <c r="CF424" s="51"/>
      <c r="CG424" s="51"/>
    </row>
    <row r="425" ht="30.0"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c r="BA425" s="51"/>
      <c r="BB425" s="51"/>
      <c r="BC425" s="51"/>
      <c r="BD425" s="51"/>
      <c r="BE425" s="51"/>
      <c r="BF425" s="51"/>
      <c r="BG425" s="51"/>
      <c r="BH425" s="51"/>
      <c r="BI425" s="51"/>
      <c r="BJ425" s="51"/>
      <c r="BK425" s="51"/>
      <c r="BL425" s="51"/>
      <c r="BM425" s="51"/>
      <c r="BN425" s="51"/>
      <c r="BO425" s="51"/>
      <c r="BP425" s="51"/>
      <c r="BQ425" s="51"/>
      <c r="BR425" s="51"/>
      <c r="BS425" s="51"/>
      <c r="BT425" s="51"/>
      <c r="BU425" s="51"/>
      <c r="BV425" s="51"/>
      <c r="BW425" s="51"/>
      <c r="BX425" s="51"/>
      <c r="BY425" s="51"/>
      <c r="BZ425" s="51"/>
      <c r="CA425" s="51"/>
      <c r="CB425" s="51"/>
      <c r="CC425" s="51"/>
      <c r="CD425" s="51"/>
      <c r="CE425" s="51"/>
      <c r="CF425" s="51"/>
      <c r="CG425" s="51"/>
    </row>
    <row r="426" ht="30.0"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c r="BA426" s="51"/>
      <c r="BB426" s="51"/>
      <c r="BC426" s="51"/>
      <c r="BD426" s="51"/>
      <c r="BE426" s="51"/>
      <c r="BF426" s="51"/>
      <c r="BG426" s="51"/>
      <c r="BH426" s="51"/>
      <c r="BI426" s="51"/>
      <c r="BJ426" s="51"/>
      <c r="BK426" s="51"/>
      <c r="BL426" s="51"/>
      <c r="BM426" s="51"/>
      <c r="BN426" s="51"/>
      <c r="BO426" s="51"/>
      <c r="BP426" s="51"/>
      <c r="BQ426" s="51"/>
      <c r="BR426" s="51"/>
      <c r="BS426" s="51"/>
      <c r="BT426" s="51"/>
      <c r="BU426" s="51"/>
      <c r="BV426" s="51"/>
      <c r="BW426" s="51"/>
      <c r="BX426" s="51"/>
      <c r="BY426" s="51"/>
      <c r="BZ426" s="51"/>
      <c r="CA426" s="51"/>
      <c r="CB426" s="51"/>
      <c r="CC426" s="51"/>
      <c r="CD426" s="51"/>
      <c r="CE426" s="51"/>
      <c r="CF426" s="51"/>
      <c r="CG426" s="51"/>
    </row>
    <row r="427" ht="30.0"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c r="BA427" s="51"/>
      <c r="BB427" s="51"/>
      <c r="BC427" s="51"/>
      <c r="BD427" s="51"/>
      <c r="BE427" s="51"/>
      <c r="BF427" s="51"/>
      <c r="BG427" s="51"/>
      <c r="BH427" s="51"/>
      <c r="BI427" s="51"/>
      <c r="BJ427" s="51"/>
      <c r="BK427" s="51"/>
      <c r="BL427" s="51"/>
      <c r="BM427" s="51"/>
      <c r="BN427" s="51"/>
      <c r="BO427" s="51"/>
      <c r="BP427" s="51"/>
      <c r="BQ427" s="51"/>
      <c r="BR427" s="51"/>
      <c r="BS427" s="51"/>
      <c r="BT427" s="51"/>
      <c r="BU427" s="51"/>
      <c r="BV427" s="51"/>
      <c r="BW427" s="51"/>
      <c r="BX427" s="51"/>
      <c r="BY427" s="51"/>
      <c r="BZ427" s="51"/>
      <c r="CA427" s="51"/>
      <c r="CB427" s="51"/>
      <c r="CC427" s="51"/>
      <c r="CD427" s="51"/>
      <c r="CE427" s="51"/>
      <c r="CF427" s="51"/>
      <c r="CG427" s="51"/>
    </row>
    <row r="428" ht="30.0"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c r="BA428" s="51"/>
      <c r="BB428" s="51"/>
      <c r="BC428" s="51"/>
      <c r="BD428" s="51"/>
      <c r="BE428" s="51"/>
      <c r="BF428" s="51"/>
      <c r="BG428" s="51"/>
      <c r="BH428" s="51"/>
      <c r="BI428" s="51"/>
      <c r="BJ428" s="51"/>
      <c r="BK428" s="51"/>
      <c r="BL428" s="51"/>
      <c r="BM428" s="51"/>
      <c r="BN428" s="51"/>
      <c r="BO428" s="51"/>
      <c r="BP428" s="51"/>
      <c r="BQ428" s="51"/>
      <c r="BR428" s="51"/>
      <c r="BS428" s="51"/>
      <c r="BT428" s="51"/>
      <c r="BU428" s="51"/>
      <c r="BV428" s="51"/>
      <c r="BW428" s="51"/>
      <c r="BX428" s="51"/>
      <c r="BY428" s="51"/>
      <c r="BZ428" s="51"/>
      <c r="CA428" s="51"/>
      <c r="CB428" s="51"/>
      <c r="CC428" s="51"/>
      <c r="CD428" s="51"/>
      <c r="CE428" s="51"/>
      <c r="CF428" s="51"/>
      <c r="CG428" s="51"/>
    </row>
    <row r="429" ht="30.0"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c r="BA429" s="51"/>
      <c r="BB429" s="51"/>
      <c r="BC429" s="51"/>
      <c r="BD429" s="51"/>
      <c r="BE429" s="51"/>
      <c r="BF429" s="51"/>
      <c r="BG429" s="51"/>
      <c r="BH429" s="51"/>
      <c r="BI429" s="51"/>
      <c r="BJ429" s="51"/>
      <c r="BK429" s="51"/>
      <c r="BL429" s="51"/>
      <c r="BM429" s="51"/>
      <c r="BN429" s="51"/>
      <c r="BO429" s="51"/>
      <c r="BP429" s="51"/>
      <c r="BQ429" s="51"/>
      <c r="BR429" s="51"/>
      <c r="BS429" s="51"/>
      <c r="BT429" s="51"/>
      <c r="BU429" s="51"/>
      <c r="BV429" s="51"/>
      <c r="BW429" s="51"/>
      <c r="BX429" s="51"/>
      <c r="BY429" s="51"/>
      <c r="BZ429" s="51"/>
      <c r="CA429" s="51"/>
      <c r="CB429" s="51"/>
      <c r="CC429" s="51"/>
      <c r="CD429" s="51"/>
      <c r="CE429" s="51"/>
      <c r="CF429" s="51"/>
      <c r="CG429" s="51"/>
    </row>
    <row r="430" ht="30.0"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c r="BA430" s="51"/>
      <c r="BB430" s="51"/>
      <c r="BC430" s="51"/>
      <c r="BD430" s="51"/>
      <c r="BE430" s="51"/>
      <c r="BF430" s="51"/>
      <c r="BG430" s="51"/>
      <c r="BH430" s="51"/>
      <c r="BI430" s="51"/>
      <c r="BJ430" s="51"/>
      <c r="BK430" s="51"/>
      <c r="BL430" s="51"/>
      <c r="BM430" s="51"/>
      <c r="BN430" s="51"/>
      <c r="BO430" s="51"/>
      <c r="BP430" s="51"/>
      <c r="BQ430" s="51"/>
      <c r="BR430" s="51"/>
      <c r="BS430" s="51"/>
      <c r="BT430" s="51"/>
      <c r="BU430" s="51"/>
      <c r="BV430" s="51"/>
      <c r="BW430" s="51"/>
      <c r="BX430" s="51"/>
      <c r="BY430" s="51"/>
      <c r="BZ430" s="51"/>
      <c r="CA430" s="51"/>
      <c r="CB430" s="51"/>
      <c r="CC430" s="51"/>
      <c r="CD430" s="51"/>
      <c r="CE430" s="51"/>
      <c r="CF430" s="51"/>
      <c r="CG430" s="51"/>
    </row>
    <row r="431" ht="30.0"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c r="BA431" s="51"/>
      <c r="BB431" s="51"/>
      <c r="BC431" s="51"/>
      <c r="BD431" s="51"/>
      <c r="BE431" s="51"/>
      <c r="BF431" s="51"/>
      <c r="BG431" s="51"/>
      <c r="BH431" s="51"/>
      <c r="BI431" s="51"/>
      <c r="BJ431" s="51"/>
      <c r="BK431" s="51"/>
      <c r="BL431" s="51"/>
      <c r="BM431" s="51"/>
      <c r="BN431" s="51"/>
      <c r="BO431" s="51"/>
      <c r="BP431" s="51"/>
      <c r="BQ431" s="51"/>
      <c r="BR431" s="51"/>
      <c r="BS431" s="51"/>
      <c r="BT431" s="51"/>
      <c r="BU431" s="51"/>
      <c r="BV431" s="51"/>
      <c r="BW431" s="51"/>
      <c r="BX431" s="51"/>
      <c r="BY431" s="51"/>
      <c r="BZ431" s="51"/>
      <c r="CA431" s="51"/>
      <c r="CB431" s="51"/>
      <c r="CC431" s="51"/>
      <c r="CD431" s="51"/>
      <c r="CE431" s="51"/>
      <c r="CF431" s="51"/>
      <c r="CG431" s="51"/>
    </row>
    <row r="432" ht="30.0"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c r="BA432" s="51"/>
      <c r="BB432" s="51"/>
      <c r="BC432" s="51"/>
      <c r="BD432" s="51"/>
      <c r="BE432" s="51"/>
      <c r="BF432" s="51"/>
      <c r="BG432" s="51"/>
      <c r="BH432" s="51"/>
      <c r="BI432" s="51"/>
      <c r="BJ432" s="51"/>
      <c r="BK432" s="51"/>
      <c r="BL432" s="51"/>
      <c r="BM432" s="51"/>
      <c r="BN432" s="51"/>
      <c r="BO432" s="51"/>
      <c r="BP432" s="51"/>
      <c r="BQ432" s="51"/>
      <c r="BR432" s="51"/>
      <c r="BS432" s="51"/>
      <c r="BT432" s="51"/>
      <c r="BU432" s="51"/>
      <c r="BV432" s="51"/>
      <c r="BW432" s="51"/>
      <c r="BX432" s="51"/>
      <c r="BY432" s="51"/>
      <c r="BZ432" s="51"/>
      <c r="CA432" s="51"/>
      <c r="CB432" s="51"/>
      <c r="CC432" s="51"/>
      <c r="CD432" s="51"/>
      <c r="CE432" s="51"/>
      <c r="CF432" s="51"/>
      <c r="CG432" s="51"/>
    </row>
    <row r="433" ht="30.0"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c r="BA433" s="51"/>
      <c r="BB433" s="51"/>
      <c r="BC433" s="51"/>
      <c r="BD433" s="51"/>
      <c r="BE433" s="51"/>
      <c r="BF433" s="51"/>
      <c r="BG433" s="51"/>
      <c r="BH433" s="51"/>
      <c r="BI433" s="51"/>
      <c r="BJ433" s="51"/>
      <c r="BK433" s="51"/>
      <c r="BL433" s="51"/>
      <c r="BM433" s="51"/>
      <c r="BN433" s="51"/>
      <c r="BO433" s="51"/>
      <c r="BP433" s="51"/>
      <c r="BQ433" s="51"/>
      <c r="BR433" s="51"/>
      <c r="BS433" s="51"/>
      <c r="BT433" s="51"/>
      <c r="BU433" s="51"/>
      <c r="BV433" s="51"/>
      <c r="BW433" s="51"/>
      <c r="BX433" s="51"/>
      <c r="BY433" s="51"/>
      <c r="BZ433" s="51"/>
      <c r="CA433" s="51"/>
      <c r="CB433" s="51"/>
      <c r="CC433" s="51"/>
      <c r="CD433" s="51"/>
      <c r="CE433" s="51"/>
      <c r="CF433" s="51"/>
      <c r="CG433" s="51"/>
    </row>
    <row r="434" ht="30.0"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c r="BA434" s="51"/>
      <c r="BB434" s="51"/>
      <c r="BC434" s="51"/>
      <c r="BD434" s="51"/>
      <c r="BE434" s="51"/>
      <c r="BF434" s="51"/>
      <c r="BG434" s="51"/>
      <c r="BH434" s="51"/>
      <c r="BI434" s="51"/>
      <c r="BJ434" s="51"/>
      <c r="BK434" s="51"/>
      <c r="BL434" s="51"/>
      <c r="BM434" s="51"/>
      <c r="BN434" s="51"/>
      <c r="BO434" s="51"/>
      <c r="BP434" s="51"/>
      <c r="BQ434" s="51"/>
      <c r="BR434" s="51"/>
      <c r="BS434" s="51"/>
      <c r="BT434" s="51"/>
      <c r="BU434" s="51"/>
      <c r="BV434" s="51"/>
      <c r="BW434" s="51"/>
      <c r="BX434" s="51"/>
      <c r="BY434" s="51"/>
      <c r="BZ434" s="51"/>
      <c r="CA434" s="51"/>
      <c r="CB434" s="51"/>
      <c r="CC434" s="51"/>
      <c r="CD434" s="51"/>
      <c r="CE434" s="51"/>
      <c r="CF434" s="51"/>
      <c r="CG434" s="51"/>
    </row>
    <row r="435" ht="30.0"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c r="BA435" s="51"/>
      <c r="BB435" s="51"/>
      <c r="BC435" s="51"/>
      <c r="BD435" s="51"/>
      <c r="BE435" s="51"/>
      <c r="BF435" s="51"/>
      <c r="BG435" s="51"/>
      <c r="BH435" s="51"/>
      <c r="BI435" s="51"/>
      <c r="BJ435" s="51"/>
      <c r="BK435" s="51"/>
      <c r="BL435" s="51"/>
      <c r="BM435" s="51"/>
      <c r="BN435" s="51"/>
      <c r="BO435" s="51"/>
      <c r="BP435" s="51"/>
      <c r="BQ435" s="51"/>
      <c r="BR435" s="51"/>
      <c r="BS435" s="51"/>
      <c r="BT435" s="51"/>
      <c r="BU435" s="51"/>
      <c r="BV435" s="51"/>
      <c r="BW435" s="51"/>
      <c r="BX435" s="51"/>
      <c r="BY435" s="51"/>
      <c r="BZ435" s="51"/>
      <c r="CA435" s="51"/>
      <c r="CB435" s="51"/>
      <c r="CC435" s="51"/>
      <c r="CD435" s="51"/>
      <c r="CE435" s="51"/>
      <c r="CF435" s="51"/>
      <c r="CG435" s="51"/>
    </row>
    <row r="436" ht="30.0"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c r="BA436" s="51"/>
      <c r="BB436" s="51"/>
      <c r="BC436" s="51"/>
      <c r="BD436" s="51"/>
      <c r="BE436" s="51"/>
      <c r="BF436" s="51"/>
      <c r="BG436" s="51"/>
      <c r="BH436" s="51"/>
      <c r="BI436" s="51"/>
      <c r="BJ436" s="51"/>
      <c r="BK436" s="51"/>
      <c r="BL436" s="51"/>
      <c r="BM436" s="51"/>
      <c r="BN436" s="51"/>
      <c r="BO436" s="51"/>
      <c r="BP436" s="51"/>
      <c r="BQ436" s="51"/>
      <c r="BR436" s="51"/>
      <c r="BS436" s="51"/>
      <c r="BT436" s="51"/>
      <c r="BU436" s="51"/>
      <c r="BV436" s="51"/>
      <c r="BW436" s="51"/>
      <c r="BX436" s="51"/>
      <c r="BY436" s="51"/>
      <c r="BZ436" s="51"/>
      <c r="CA436" s="51"/>
      <c r="CB436" s="51"/>
      <c r="CC436" s="51"/>
      <c r="CD436" s="51"/>
      <c r="CE436" s="51"/>
      <c r="CF436" s="51"/>
      <c r="CG436" s="51"/>
    </row>
    <row r="437" ht="30.0"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c r="BA437" s="51"/>
      <c r="BB437" s="51"/>
      <c r="BC437" s="51"/>
      <c r="BD437" s="51"/>
      <c r="BE437" s="51"/>
      <c r="BF437" s="51"/>
      <c r="BG437" s="51"/>
      <c r="BH437" s="51"/>
      <c r="BI437" s="51"/>
      <c r="BJ437" s="51"/>
      <c r="BK437" s="51"/>
      <c r="BL437" s="51"/>
      <c r="BM437" s="51"/>
      <c r="BN437" s="51"/>
      <c r="BO437" s="51"/>
      <c r="BP437" s="51"/>
      <c r="BQ437" s="51"/>
      <c r="BR437" s="51"/>
      <c r="BS437" s="51"/>
      <c r="BT437" s="51"/>
      <c r="BU437" s="51"/>
      <c r="BV437" s="51"/>
      <c r="BW437" s="51"/>
      <c r="BX437" s="51"/>
      <c r="BY437" s="51"/>
      <c r="BZ437" s="51"/>
      <c r="CA437" s="51"/>
      <c r="CB437" s="51"/>
      <c r="CC437" s="51"/>
      <c r="CD437" s="51"/>
      <c r="CE437" s="51"/>
      <c r="CF437" s="51"/>
      <c r="CG437" s="51"/>
    </row>
    <row r="438" ht="30.0"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c r="BA438" s="51"/>
      <c r="BB438" s="51"/>
      <c r="BC438" s="51"/>
      <c r="BD438" s="51"/>
      <c r="BE438" s="51"/>
      <c r="BF438" s="51"/>
      <c r="BG438" s="51"/>
      <c r="BH438" s="51"/>
      <c r="BI438" s="51"/>
      <c r="BJ438" s="51"/>
      <c r="BK438" s="51"/>
      <c r="BL438" s="51"/>
      <c r="BM438" s="51"/>
      <c r="BN438" s="51"/>
      <c r="BO438" s="51"/>
      <c r="BP438" s="51"/>
      <c r="BQ438" s="51"/>
      <c r="BR438" s="51"/>
      <c r="BS438" s="51"/>
      <c r="BT438" s="51"/>
      <c r="BU438" s="51"/>
      <c r="BV438" s="51"/>
      <c r="BW438" s="51"/>
      <c r="BX438" s="51"/>
      <c r="BY438" s="51"/>
      <c r="BZ438" s="51"/>
      <c r="CA438" s="51"/>
      <c r="CB438" s="51"/>
      <c r="CC438" s="51"/>
      <c r="CD438" s="51"/>
      <c r="CE438" s="51"/>
      <c r="CF438" s="51"/>
      <c r="CG438" s="51"/>
    </row>
    <row r="439" ht="30.0"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c r="BA439" s="51"/>
      <c r="BB439" s="51"/>
      <c r="BC439" s="51"/>
      <c r="BD439" s="51"/>
      <c r="BE439" s="51"/>
      <c r="BF439" s="51"/>
      <c r="BG439" s="51"/>
      <c r="BH439" s="51"/>
      <c r="BI439" s="51"/>
      <c r="BJ439" s="51"/>
      <c r="BK439" s="51"/>
      <c r="BL439" s="51"/>
      <c r="BM439" s="51"/>
      <c r="BN439" s="51"/>
      <c r="BO439" s="51"/>
      <c r="BP439" s="51"/>
      <c r="BQ439" s="51"/>
      <c r="BR439" s="51"/>
      <c r="BS439" s="51"/>
      <c r="BT439" s="51"/>
      <c r="BU439" s="51"/>
      <c r="BV439" s="51"/>
      <c r="BW439" s="51"/>
      <c r="BX439" s="51"/>
      <c r="BY439" s="51"/>
      <c r="BZ439" s="51"/>
      <c r="CA439" s="51"/>
      <c r="CB439" s="51"/>
      <c r="CC439" s="51"/>
      <c r="CD439" s="51"/>
      <c r="CE439" s="51"/>
      <c r="CF439" s="51"/>
      <c r="CG439" s="51"/>
    </row>
    <row r="440" ht="30.0"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c r="BA440" s="51"/>
      <c r="BB440" s="51"/>
      <c r="BC440" s="51"/>
      <c r="BD440" s="51"/>
      <c r="BE440" s="51"/>
      <c r="BF440" s="51"/>
      <c r="BG440" s="51"/>
      <c r="BH440" s="51"/>
      <c r="BI440" s="51"/>
      <c r="BJ440" s="51"/>
      <c r="BK440" s="51"/>
      <c r="BL440" s="51"/>
      <c r="BM440" s="51"/>
      <c r="BN440" s="51"/>
      <c r="BO440" s="51"/>
      <c r="BP440" s="51"/>
      <c r="BQ440" s="51"/>
      <c r="BR440" s="51"/>
      <c r="BS440" s="51"/>
      <c r="BT440" s="51"/>
      <c r="BU440" s="51"/>
      <c r="BV440" s="51"/>
      <c r="BW440" s="51"/>
      <c r="BX440" s="51"/>
      <c r="BY440" s="51"/>
      <c r="BZ440" s="51"/>
      <c r="CA440" s="51"/>
      <c r="CB440" s="51"/>
      <c r="CC440" s="51"/>
      <c r="CD440" s="51"/>
      <c r="CE440" s="51"/>
      <c r="CF440" s="51"/>
      <c r="CG440" s="51"/>
    </row>
    <row r="441" ht="30.0"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c r="BA441" s="51"/>
      <c r="BB441" s="51"/>
      <c r="BC441" s="51"/>
      <c r="BD441" s="51"/>
      <c r="BE441" s="51"/>
      <c r="BF441" s="51"/>
      <c r="BG441" s="51"/>
      <c r="BH441" s="51"/>
      <c r="BI441" s="51"/>
      <c r="BJ441" s="51"/>
      <c r="BK441" s="51"/>
      <c r="BL441" s="51"/>
      <c r="BM441" s="51"/>
      <c r="BN441" s="51"/>
      <c r="BO441" s="51"/>
      <c r="BP441" s="51"/>
      <c r="BQ441" s="51"/>
      <c r="BR441" s="51"/>
      <c r="BS441" s="51"/>
      <c r="BT441" s="51"/>
      <c r="BU441" s="51"/>
      <c r="BV441" s="51"/>
      <c r="BW441" s="51"/>
      <c r="BX441" s="51"/>
      <c r="BY441" s="51"/>
      <c r="BZ441" s="51"/>
      <c r="CA441" s="51"/>
      <c r="CB441" s="51"/>
      <c r="CC441" s="51"/>
      <c r="CD441" s="51"/>
      <c r="CE441" s="51"/>
      <c r="CF441" s="51"/>
      <c r="CG441" s="51"/>
    </row>
    <row r="442" ht="30.0"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c r="BA442" s="51"/>
      <c r="BB442" s="51"/>
      <c r="BC442" s="51"/>
      <c r="BD442" s="51"/>
      <c r="BE442" s="51"/>
      <c r="BF442" s="51"/>
      <c r="BG442" s="51"/>
      <c r="BH442" s="51"/>
      <c r="BI442" s="51"/>
      <c r="BJ442" s="51"/>
      <c r="BK442" s="51"/>
      <c r="BL442" s="51"/>
      <c r="BM442" s="51"/>
      <c r="BN442" s="51"/>
      <c r="BO442" s="51"/>
      <c r="BP442" s="51"/>
      <c r="BQ442" s="51"/>
      <c r="BR442" s="51"/>
      <c r="BS442" s="51"/>
      <c r="BT442" s="51"/>
      <c r="BU442" s="51"/>
      <c r="BV442" s="51"/>
      <c r="BW442" s="51"/>
      <c r="BX442" s="51"/>
      <c r="BY442" s="51"/>
      <c r="BZ442" s="51"/>
      <c r="CA442" s="51"/>
      <c r="CB442" s="51"/>
      <c r="CC442" s="51"/>
      <c r="CD442" s="51"/>
      <c r="CE442" s="51"/>
      <c r="CF442" s="51"/>
      <c r="CG442" s="51"/>
    </row>
    <row r="443" ht="30.0"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c r="BA443" s="51"/>
      <c r="BB443" s="51"/>
      <c r="BC443" s="51"/>
      <c r="BD443" s="51"/>
      <c r="BE443" s="51"/>
      <c r="BF443" s="51"/>
      <c r="BG443" s="51"/>
      <c r="BH443" s="51"/>
      <c r="BI443" s="51"/>
      <c r="BJ443" s="51"/>
      <c r="BK443" s="51"/>
      <c r="BL443" s="51"/>
      <c r="BM443" s="51"/>
      <c r="BN443" s="51"/>
      <c r="BO443" s="51"/>
      <c r="BP443" s="51"/>
      <c r="BQ443" s="51"/>
      <c r="BR443" s="51"/>
      <c r="BS443" s="51"/>
      <c r="BT443" s="51"/>
      <c r="BU443" s="51"/>
      <c r="BV443" s="51"/>
      <c r="BW443" s="51"/>
      <c r="BX443" s="51"/>
      <c r="BY443" s="51"/>
      <c r="BZ443" s="51"/>
      <c r="CA443" s="51"/>
      <c r="CB443" s="51"/>
      <c r="CC443" s="51"/>
      <c r="CD443" s="51"/>
      <c r="CE443" s="51"/>
      <c r="CF443" s="51"/>
      <c r="CG443" s="51"/>
    </row>
    <row r="444" ht="30.0"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c r="BA444" s="51"/>
      <c r="BB444" s="51"/>
      <c r="BC444" s="51"/>
      <c r="BD444" s="51"/>
      <c r="BE444" s="51"/>
      <c r="BF444" s="51"/>
      <c r="BG444" s="51"/>
      <c r="BH444" s="51"/>
      <c r="BI444" s="51"/>
      <c r="BJ444" s="51"/>
      <c r="BK444" s="51"/>
      <c r="BL444" s="51"/>
      <c r="BM444" s="51"/>
      <c r="BN444" s="51"/>
      <c r="BO444" s="51"/>
      <c r="BP444" s="51"/>
      <c r="BQ444" s="51"/>
      <c r="BR444" s="51"/>
      <c r="BS444" s="51"/>
      <c r="BT444" s="51"/>
      <c r="BU444" s="51"/>
      <c r="BV444" s="51"/>
      <c r="BW444" s="51"/>
      <c r="BX444" s="51"/>
      <c r="BY444" s="51"/>
      <c r="BZ444" s="51"/>
      <c r="CA444" s="51"/>
      <c r="CB444" s="51"/>
      <c r="CC444" s="51"/>
      <c r="CD444" s="51"/>
      <c r="CE444" s="51"/>
      <c r="CF444" s="51"/>
      <c r="CG444" s="51"/>
    </row>
    <row r="445" ht="30.0"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c r="BA445" s="51"/>
      <c r="BB445" s="51"/>
      <c r="BC445" s="51"/>
      <c r="BD445" s="51"/>
      <c r="BE445" s="51"/>
      <c r="BF445" s="51"/>
      <c r="BG445" s="51"/>
      <c r="BH445" s="51"/>
      <c r="BI445" s="51"/>
      <c r="BJ445" s="51"/>
      <c r="BK445" s="51"/>
      <c r="BL445" s="51"/>
      <c r="BM445" s="51"/>
      <c r="BN445" s="51"/>
      <c r="BO445" s="51"/>
      <c r="BP445" s="51"/>
      <c r="BQ445" s="51"/>
      <c r="BR445" s="51"/>
      <c r="BS445" s="51"/>
      <c r="BT445" s="51"/>
      <c r="BU445" s="51"/>
      <c r="BV445" s="51"/>
      <c r="BW445" s="51"/>
      <c r="BX445" s="51"/>
      <c r="BY445" s="51"/>
      <c r="BZ445" s="51"/>
      <c r="CA445" s="51"/>
      <c r="CB445" s="51"/>
      <c r="CC445" s="51"/>
      <c r="CD445" s="51"/>
      <c r="CE445" s="51"/>
      <c r="CF445" s="51"/>
      <c r="CG445" s="51"/>
    </row>
    <row r="446" ht="30.0"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c r="BA446" s="51"/>
      <c r="BB446" s="51"/>
      <c r="BC446" s="51"/>
      <c r="BD446" s="51"/>
      <c r="BE446" s="51"/>
      <c r="BF446" s="51"/>
      <c r="BG446" s="51"/>
      <c r="BH446" s="51"/>
      <c r="BI446" s="51"/>
      <c r="BJ446" s="51"/>
      <c r="BK446" s="51"/>
      <c r="BL446" s="51"/>
      <c r="BM446" s="51"/>
      <c r="BN446" s="51"/>
      <c r="BO446" s="51"/>
      <c r="BP446" s="51"/>
      <c r="BQ446" s="51"/>
      <c r="BR446" s="51"/>
      <c r="BS446" s="51"/>
      <c r="BT446" s="51"/>
      <c r="BU446" s="51"/>
      <c r="BV446" s="51"/>
      <c r="BW446" s="51"/>
      <c r="BX446" s="51"/>
      <c r="BY446" s="51"/>
      <c r="BZ446" s="51"/>
      <c r="CA446" s="51"/>
      <c r="CB446" s="51"/>
      <c r="CC446" s="51"/>
      <c r="CD446" s="51"/>
      <c r="CE446" s="51"/>
      <c r="CF446" s="51"/>
      <c r="CG446" s="51"/>
    </row>
    <row r="447" ht="30.0"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c r="BA447" s="51"/>
      <c r="BB447" s="51"/>
      <c r="BC447" s="51"/>
      <c r="BD447" s="51"/>
      <c r="BE447" s="51"/>
      <c r="BF447" s="51"/>
      <c r="BG447" s="51"/>
      <c r="BH447" s="51"/>
      <c r="BI447" s="51"/>
      <c r="BJ447" s="51"/>
      <c r="BK447" s="51"/>
      <c r="BL447" s="51"/>
      <c r="BM447" s="51"/>
      <c r="BN447" s="51"/>
      <c r="BO447" s="51"/>
      <c r="BP447" s="51"/>
      <c r="BQ447" s="51"/>
      <c r="BR447" s="51"/>
      <c r="BS447" s="51"/>
      <c r="BT447" s="51"/>
      <c r="BU447" s="51"/>
      <c r="BV447" s="51"/>
      <c r="BW447" s="51"/>
      <c r="BX447" s="51"/>
      <c r="BY447" s="51"/>
      <c r="BZ447" s="51"/>
      <c r="CA447" s="51"/>
      <c r="CB447" s="51"/>
      <c r="CC447" s="51"/>
      <c r="CD447" s="51"/>
      <c r="CE447" s="51"/>
      <c r="CF447" s="51"/>
      <c r="CG447" s="51"/>
    </row>
    <row r="448" ht="30.0"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c r="BA448" s="51"/>
      <c r="BB448" s="51"/>
      <c r="BC448" s="51"/>
      <c r="BD448" s="51"/>
      <c r="BE448" s="51"/>
      <c r="BF448" s="51"/>
      <c r="BG448" s="51"/>
      <c r="BH448" s="51"/>
      <c r="BI448" s="51"/>
      <c r="BJ448" s="51"/>
      <c r="BK448" s="51"/>
      <c r="BL448" s="51"/>
      <c r="BM448" s="51"/>
      <c r="BN448" s="51"/>
      <c r="BO448" s="51"/>
      <c r="BP448" s="51"/>
      <c r="BQ448" s="51"/>
      <c r="BR448" s="51"/>
      <c r="BS448" s="51"/>
      <c r="BT448" s="51"/>
      <c r="BU448" s="51"/>
      <c r="BV448" s="51"/>
      <c r="BW448" s="51"/>
      <c r="BX448" s="51"/>
      <c r="BY448" s="51"/>
      <c r="BZ448" s="51"/>
      <c r="CA448" s="51"/>
      <c r="CB448" s="51"/>
      <c r="CC448" s="51"/>
      <c r="CD448" s="51"/>
      <c r="CE448" s="51"/>
      <c r="CF448" s="51"/>
      <c r="CG448" s="51"/>
    </row>
    <row r="449" ht="30.0"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c r="BA449" s="51"/>
      <c r="BB449" s="51"/>
      <c r="BC449" s="51"/>
      <c r="BD449" s="51"/>
      <c r="BE449" s="51"/>
      <c r="BF449" s="51"/>
      <c r="BG449" s="51"/>
      <c r="BH449" s="51"/>
      <c r="BI449" s="51"/>
      <c r="BJ449" s="51"/>
      <c r="BK449" s="51"/>
      <c r="BL449" s="51"/>
      <c r="BM449" s="51"/>
      <c r="BN449" s="51"/>
      <c r="BO449" s="51"/>
      <c r="BP449" s="51"/>
      <c r="BQ449" s="51"/>
      <c r="BR449" s="51"/>
      <c r="BS449" s="51"/>
      <c r="BT449" s="51"/>
      <c r="BU449" s="51"/>
      <c r="BV449" s="51"/>
      <c r="BW449" s="51"/>
      <c r="BX449" s="51"/>
      <c r="BY449" s="51"/>
      <c r="BZ449" s="51"/>
      <c r="CA449" s="51"/>
      <c r="CB449" s="51"/>
      <c r="CC449" s="51"/>
      <c r="CD449" s="51"/>
      <c r="CE449" s="51"/>
      <c r="CF449" s="51"/>
      <c r="CG449" s="51"/>
    </row>
    <row r="450" ht="30.0"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c r="BA450" s="51"/>
      <c r="BB450" s="51"/>
      <c r="BC450" s="51"/>
      <c r="BD450" s="51"/>
      <c r="BE450" s="51"/>
      <c r="BF450" s="51"/>
      <c r="BG450" s="51"/>
      <c r="BH450" s="51"/>
      <c r="BI450" s="51"/>
      <c r="BJ450" s="51"/>
      <c r="BK450" s="51"/>
      <c r="BL450" s="51"/>
      <c r="BM450" s="51"/>
      <c r="BN450" s="51"/>
      <c r="BO450" s="51"/>
      <c r="BP450" s="51"/>
      <c r="BQ450" s="51"/>
      <c r="BR450" s="51"/>
      <c r="BS450" s="51"/>
      <c r="BT450" s="51"/>
      <c r="BU450" s="51"/>
      <c r="BV450" s="51"/>
      <c r="BW450" s="51"/>
      <c r="BX450" s="51"/>
      <c r="BY450" s="51"/>
      <c r="BZ450" s="51"/>
      <c r="CA450" s="51"/>
      <c r="CB450" s="51"/>
      <c r="CC450" s="51"/>
      <c r="CD450" s="51"/>
      <c r="CE450" s="51"/>
      <c r="CF450" s="51"/>
      <c r="CG450" s="51"/>
    </row>
    <row r="451" ht="30.0"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c r="BA451" s="51"/>
      <c r="BB451" s="51"/>
      <c r="BC451" s="51"/>
      <c r="BD451" s="51"/>
      <c r="BE451" s="51"/>
      <c r="BF451" s="51"/>
      <c r="BG451" s="51"/>
      <c r="BH451" s="51"/>
      <c r="BI451" s="51"/>
      <c r="BJ451" s="51"/>
      <c r="BK451" s="51"/>
      <c r="BL451" s="51"/>
      <c r="BM451" s="51"/>
      <c r="BN451" s="51"/>
      <c r="BO451" s="51"/>
      <c r="BP451" s="51"/>
      <c r="BQ451" s="51"/>
      <c r="BR451" s="51"/>
      <c r="BS451" s="51"/>
      <c r="BT451" s="51"/>
      <c r="BU451" s="51"/>
      <c r="BV451" s="51"/>
      <c r="BW451" s="51"/>
      <c r="BX451" s="51"/>
      <c r="BY451" s="51"/>
      <c r="BZ451" s="51"/>
      <c r="CA451" s="51"/>
      <c r="CB451" s="51"/>
      <c r="CC451" s="51"/>
      <c r="CD451" s="51"/>
      <c r="CE451" s="51"/>
      <c r="CF451" s="51"/>
      <c r="CG451" s="51"/>
    </row>
    <row r="452" ht="30.0"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c r="BA452" s="51"/>
      <c r="BB452" s="51"/>
      <c r="BC452" s="51"/>
      <c r="BD452" s="51"/>
      <c r="BE452" s="51"/>
      <c r="BF452" s="51"/>
      <c r="BG452" s="51"/>
      <c r="BH452" s="51"/>
      <c r="BI452" s="51"/>
      <c r="BJ452" s="51"/>
      <c r="BK452" s="51"/>
      <c r="BL452" s="51"/>
      <c r="BM452" s="51"/>
      <c r="BN452" s="51"/>
      <c r="BO452" s="51"/>
      <c r="BP452" s="51"/>
      <c r="BQ452" s="51"/>
      <c r="BR452" s="51"/>
      <c r="BS452" s="51"/>
      <c r="BT452" s="51"/>
      <c r="BU452" s="51"/>
      <c r="BV452" s="51"/>
      <c r="BW452" s="51"/>
      <c r="BX452" s="51"/>
      <c r="BY452" s="51"/>
      <c r="BZ452" s="51"/>
      <c r="CA452" s="51"/>
      <c r="CB452" s="51"/>
      <c r="CC452" s="51"/>
      <c r="CD452" s="51"/>
      <c r="CE452" s="51"/>
      <c r="CF452" s="51"/>
      <c r="CG452" s="51"/>
    </row>
    <row r="453" ht="30.0"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c r="BA453" s="51"/>
      <c r="BB453" s="51"/>
      <c r="BC453" s="51"/>
      <c r="BD453" s="51"/>
      <c r="BE453" s="51"/>
      <c r="BF453" s="51"/>
      <c r="BG453" s="51"/>
      <c r="BH453" s="51"/>
      <c r="BI453" s="51"/>
      <c r="BJ453" s="51"/>
      <c r="BK453" s="51"/>
      <c r="BL453" s="51"/>
      <c r="BM453" s="51"/>
      <c r="BN453" s="51"/>
      <c r="BO453" s="51"/>
      <c r="BP453" s="51"/>
      <c r="BQ453" s="51"/>
      <c r="BR453" s="51"/>
      <c r="BS453" s="51"/>
      <c r="BT453" s="51"/>
      <c r="BU453" s="51"/>
      <c r="BV453" s="51"/>
      <c r="BW453" s="51"/>
      <c r="BX453" s="51"/>
      <c r="BY453" s="51"/>
      <c r="BZ453" s="51"/>
      <c r="CA453" s="51"/>
      <c r="CB453" s="51"/>
      <c r="CC453" s="51"/>
      <c r="CD453" s="51"/>
      <c r="CE453" s="51"/>
      <c r="CF453" s="51"/>
      <c r="CG453" s="51"/>
    </row>
    <row r="454" ht="30.0"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c r="BA454" s="51"/>
      <c r="BB454" s="51"/>
      <c r="BC454" s="51"/>
      <c r="BD454" s="51"/>
      <c r="BE454" s="51"/>
      <c r="BF454" s="51"/>
      <c r="BG454" s="51"/>
      <c r="BH454" s="51"/>
      <c r="BI454" s="51"/>
      <c r="BJ454" s="51"/>
      <c r="BK454" s="51"/>
      <c r="BL454" s="51"/>
      <c r="BM454" s="51"/>
      <c r="BN454" s="51"/>
      <c r="BO454" s="51"/>
      <c r="BP454" s="51"/>
      <c r="BQ454" s="51"/>
      <c r="BR454" s="51"/>
      <c r="BS454" s="51"/>
      <c r="BT454" s="51"/>
      <c r="BU454" s="51"/>
      <c r="BV454" s="51"/>
      <c r="BW454" s="51"/>
      <c r="BX454" s="51"/>
      <c r="BY454" s="51"/>
      <c r="BZ454" s="51"/>
      <c r="CA454" s="51"/>
      <c r="CB454" s="51"/>
      <c r="CC454" s="51"/>
      <c r="CD454" s="51"/>
      <c r="CE454" s="51"/>
      <c r="CF454" s="51"/>
      <c r="CG454" s="51"/>
    </row>
    <row r="455" ht="30.0"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c r="BA455" s="51"/>
      <c r="BB455" s="51"/>
      <c r="BC455" s="51"/>
      <c r="BD455" s="51"/>
      <c r="BE455" s="51"/>
      <c r="BF455" s="51"/>
      <c r="BG455" s="51"/>
      <c r="BH455" s="51"/>
      <c r="BI455" s="51"/>
      <c r="BJ455" s="51"/>
      <c r="BK455" s="51"/>
      <c r="BL455" s="51"/>
      <c r="BM455" s="51"/>
      <c r="BN455" s="51"/>
      <c r="BO455" s="51"/>
      <c r="BP455" s="51"/>
      <c r="BQ455" s="51"/>
      <c r="BR455" s="51"/>
      <c r="BS455" s="51"/>
      <c r="BT455" s="51"/>
      <c r="BU455" s="51"/>
      <c r="BV455" s="51"/>
      <c r="BW455" s="51"/>
      <c r="BX455" s="51"/>
      <c r="BY455" s="51"/>
      <c r="BZ455" s="51"/>
      <c r="CA455" s="51"/>
      <c r="CB455" s="51"/>
      <c r="CC455" s="51"/>
      <c r="CD455" s="51"/>
      <c r="CE455" s="51"/>
      <c r="CF455" s="51"/>
      <c r="CG455" s="51"/>
    </row>
    <row r="456" ht="30.0"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c r="BA456" s="51"/>
      <c r="BB456" s="51"/>
      <c r="BC456" s="51"/>
      <c r="BD456" s="51"/>
      <c r="BE456" s="51"/>
      <c r="BF456" s="51"/>
      <c r="BG456" s="51"/>
      <c r="BH456" s="51"/>
      <c r="BI456" s="51"/>
      <c r="BJ456" s="51"/>
      <c r="BK456" s="51"/>
      <c r="BL456" s="51"/>
      <c r="BM456" s="51"/>
      <c r="BN456" s="51"/>
      <c r="BO456" s="51"/>
      <c r="BP456" s="51"/>
      <c r="BQ456" s="51"/>
      <c r="BR456" s="51"/>
      <c r="BS456" s="51"/>
      <c r="BT456" s="51"/>
      <c r="BU456" s="51"/>
      <c r="BV456" s="51"/>
      <c r="BW456" s="51"/>
      <c r="BX456" s="51"/>
      <c r="BY456" s="51"/>
      <c r="BZ456" s="51"/>
      <c r="CA456" s="51"/>
      <c r="CB456" s="51"/>
      <c r="CC456" s="51"/>
      <c r="CD456" s="51"/>
      <c r="CE456" s="51"/>
      <c r="CF456" s="51"/>
      <c r="CG456" s="51"/>
    </row>
    <row r="457" ht="30.0"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c r="BA457" s="51"/>
      <c r="BB457" s="51"/>
      <c r="BC457" s="51"/>
      <c r="BD457" s="51"/>
      <c r="BE457" s="51"/>
      <c r="BF457" s="51"/>
      <c r="BG457" s="51"/>
      <c r="BH457" s="51"/>
      <c r="BI457" s="51"/>
      <c r="BJ457" s="51"/>
      <c r="BK457" s="51"/>
      <c r="BL457" s="51"/>
      <c r="BM457" s="51"/>
      <c r="BN457" s="51"/>
      <c r="BO457" s="51"/>
      <c r="BP457" s="51"/>
      <c r="BQ457" s="51"/>
      <c r="BR457" s="51"/>
      <c r="BS457" s="51"/>
      <c r="BT457" s="51"/>
      <c r="BU457" s="51"/>
      <c r="BV457" s="51"/>
      <c r="BW457" s="51"/>
      <c r="BX457" s="51"/>
      <c r="BY457" s="51"/>
      <c r="BZ457" s="51"/>
      <c r="CA457" s="51"/>
      <c r="CB457" s="51"/>
      <c r="CC457" s="51"/>
      <c r="CD457" s="51"/>
      <c r="CE457" s="51"/>
      <c r="CF457" s="51"/>
      <c r="CG457" s="51"/>
    </row>
    <row r="458" ht="30.0"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c r="BA458" s="51"/>
      <c r="BB458" s="51"/>
      <c r="BC458" s="51"/>
      <c r="BD458" s="51"/>
      <c r="BE458" s="51"/>
      <c r="BF458" s="51"/>
      <c r="BG458" s="51"/>
      <c r="BH458" s="51"/>
      <c r="BI458" s="51"/>
      <c r="BJ458" s="51"/>
      <c r="BK458" s="51"/>
      <c r="BL458" s="51"/>
      <c r="BM458" s="51"/>
      <c r="BN458" s="51"/>
      <c r="BO458" s="51"/>
      <c r="BP458" s="51"/>
      <c r="BQ458" s="51"/>
      <c r="BR458" s="51"/>
      <c r="BS458" s="51"/>
      <c r="BT458" s="51"/>
      <c r="BU458" s="51"/>
      <c r="BV458" s="51"/>
      <c r="BW458" s="51"/>
      <c r="BX458" s="51"/>
      <c r="BY458" s="51"/>
      <c r="BZ458" s="51"/>
      <c r="CA458" s="51"/>
      <c r="CB458" s="51"/>
      <c r="CC458" s="51"/>
      <c r="CD458" s="51"/>
      <c r="CE458" s="51"/>
      <c r="CF458" s="51"/>
      <c r="CG458" s="51"/>
    </row>
    <row r="459" ht="30.0"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c r="BA459" s="51"/>
      <c r="BB459" s="51"/>
      <c r="BC459" s="51"/>
      <c r="BD459" s="51"/>
      <c r="BE459" s="51"/>
      <c r="BF459" s="51"/>
      <c r="BG459" s="51"/>
      <c r="BH459" s="51"/>
      <c r="BI459" s="51"/>
      <c r="BJ459" s="51"/>
      <c r="BK459" s="51"/>
      <c r="BL459" s="51"/>
      <c r="BM459" s="51"/>
      <c r="BN459" s="51"/>
      <c r="BO459" s="51"/>
      <c r="BP459" s="51"/>
      <c r="BQ459" s="51"/>
      <c r="BR459" s="51"/>
      <c r="BS459" s="51"/>
      <c r="BT459" s="51"/>
      <c r="BU459" s="51"/>
      <c r="BV459" s="51"/>
      <c r="BW459" s="51"/>
      <c r="BX459" s="51"/>
      <c r="BY459" s="51"/>
      <c r="BZ459" s="51"/>
      <c r="CA459" s="51"/>
      <c r="CB459" s="51"/>
      <c r="CC459" s="51"/>
      <c r="CD459" s="51"/>
      <c r="CE459" s="51"/>
      <c r="CF459" s="51"/>
      <c r="CG459" s="51"/>
    </row>
    <row r="460" ht="30.0"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c r="BA460" s="51"/>
      <c r="BB460" s="51"/>
      <c r="BC460" s="51"/>
      <c r="BD460" s="51"/>
      <c r="BE460" s="51"/>
      <c r="BF460" s="51"/>
      <c r="BG460" s="51"/>
      <c r="BH460" s="51"/>
      <c r="BI460" s="51"/>
      <c r="BJ460" s="51"/>
      <c r="BK460" s="51"/>
      <c r="BL460" s="51"/>
      <c r="BM460" s="51"/>
      <c r="BN460" s="51"/>
      <c r="BO460" s="51"/>
      <c r="BP460" s="51"/>
      <c r="BQ460" s="51"/>
      <c r="BR460" s="51"/>
      <c r="BS460" s="51"/>
      <c r="BT460" s="51"/>
      <c r="BU460" s="51"/>
      <c r="BV460" s="51"/>
      <c r="BW460" s="51"/>
      <c r="BX460" s="51"/>
      <c r="BY460" s="51"/>
      <c r="BZ460" s="51"/>
      <c r="CA460" s="51"/>
      <c r="CB460" s="51"/>
      <c r="CC460" s="51"/>
      <c r="CD460" s="51"/>
      <c r="CE460" s="51"/>
      <c r="CF460" s="51"/>
      <c r="CG460" s="51"/>
    </row>
    <row r="461" ht="30.0"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c r="BA461" s="51"/>
      <c r="BB461" s="51"/>
      <c r="BC461" s="51"/>
      <c r="BD461" s="51"/>
      <c r="BE461" s="51"/>
      <c r="BF461" s="51"/>
      <c r="BG461" s="51"/>
      <c r="BH461" s="51"/>
      <c r="BI461" s="51"/>
      <c r="BJ461" s="51"/>
      <c r="BK461" s="51"/>
      <c r="BL461" s="51"/>
      <c r="BM461" s="51"/>
      <c r="BN461" s="51"/>
      <c r="BO461" s="51"/>
      <c r="BP461" s="51"/>
      <c r="BQ461" s="51"/>
      <c r="BR461" s="51"/>
      <c r="BS461" s="51"/>
      <c r="BT461" s="51"/>
      <c r="BU461" s="51"/>
      <c r="BV461" s="51"/>
      <c r="BW461" s="51"/>
      <c r="BX461" s="51"/>
      <c r="BY461" s="51"/>
      <c r="BZ461" s="51"/>
      <c r="CA461" s="51"/>
      <c r="CB461" s="51"/>
      <c r="CC461" s="51"/>
      <c r="CD461" s="51"/>
      <c r="CE461" s="51"/>
      <c r="CF461" s="51"/>
      <c r="CG461" s="51"/>
    </row>
    <row r="462" ht="30.0"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c r="BA462" s="51"/>
      <c r="BB462" s="51"/>
      <c r="BC462" s="51"/>
      <c r="BD462" s="51"/>
      <c r="BE462" s="51"/>
      <c r="BF462" s="51"/>
      <c r="BG462" s="51"/>
      <c r="BH462" s="51"/>
      <c r="BI462" s="51"/>
      <c r="BJ462" s="51"/>
      <c r="BK462" s="51"/>
      <c r="BL462" s="51"/>
      <c r="BM462" s="51"/>
      <c r="BN462" s="51"/>
      <c r="BO462" s="51"/>
      <c r="BP462" s="51"/>
      <c r="BQ462" s="51"/>
      <c r="BR462" s="51"/>
      <c r="BS462" s="51"/>
      <c r="BT462" s="51"/>
      <c r="BU462" s="51"/>
      <c r="BV462" s="51"/>
      <c r="BW462" s="51"/>
      <c r="BX462" s="51"/>
      <c r="BY462" s="51"/>
      <c r="BZ462" s="51"/>
      <c r="CA462" s="51"/>
      <c r="CB462" s="51"/>
      <c r="CC462" s="51"/>
      <c r="CD462" s="51"/>
      <c r="CE462" s="51"/>
      <c r="CF462" s="51"/>
      <c r="CG462" s="51"/>
    </row>
    <row r="463" ht="30.0"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c r="BA463" s="51"/>
      <c r="BB463" s="51"/>
      <c r="BC463" s="51"/>
      <c r="BD463" s="51"/>
      <c r="BE463" s="51"/>
      <c r="BF463" s="51"/>
      <c r="BG463" s="51"/>
      <c r="BH463" s="51"/>
      <c r="BI463" s="51"/>
      <c r="BJ463" s="51"/>
      <c r="BK463" s="51"/>
      <c r="BL463" s="51"/>
      <c r="BM463" s="51"/>
      <c r="BN463" s="51"/>
      <c r="BO463" s="51"/>
      <c r="BP463" s="51"/>
      <c r="BQ463" s="51"/>
      <c r="BR463" s="51"/>
      <c r="BS463" s="51"/>
      <c r="BT463" s="51"/>
      <c r="BU463" s="51"/>
      <c r="BV463" s="51"/>
      <c r="BW463" s="51"/>
      <c r="BX463" s="51"/>
      <c r="BY463" s="51"/>
      <c r="BZ463" s="51"/>
      <c r="CA463" s="51"/>
      <c r="CB463" s="51"/>
      <c r="CC463" s="51"/>
      <c r="CD463" s="51"/>
      <c r="CE463" s="51"/>
      <c r="CF463" s="51"/>
      <c r="CG463" s="51"/>
    </row>
    <row r="464" ht="30.0"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c r="BA464" s="51"/>
      <c r="BB464" s="51"/>
      <c r="BC464" s="51"/>
      <c r="BD464" s="51"/>
      <c r="BE464" s="51"/>
      <c r="BF464" s="51"/>
      <c r="BG464" s="51"/>
      <c r="BH464" s="51"/>
      <c r="BI464" s="51"/>
      <c r="BJ464" s="51"/>
      <c r="BK464" s="51"/>
      <c r="BL464" s="51"/>
      <c r="BM464" s="51"/>
      <c r="BN464" s="51"/>
      <c r="BO464" s="51"/>
      <c r="BP464" s="51"/>
      <c r="BQ464" s="51"/>
      <c r="BR464" s="51"/>
      <c r="BS464" s="51"/>
      <c r="BT464" s="51"/>
      <c r="BU464" s="51"/>
      <c r="BV464" s="51"/>
      <c r="BW464" s="51"/>
      <c r="BX464" s="51"/>
      <c r="BY464" s="51"/>
      <c r="BZ464" s="51"/>
      <c r="CA464" s="51"/>
      <c r="CB464" s="51"/>
      <c r="CC464" s="51"/>
      <c r="CD464" s="51"/>
      <c r="CE464" s="51"/>
      <c r="CF464" s="51"/>
      <c r="CG464" s="51"/>
    </row>
    <row r="465" ht="30.0"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c r="BA465" s="51"/>
      <c r="BB465" s="51"/>
      <c r="BC465" s="51"/>
      <c r="BD465" s="51"/>
      <c r="BE465" s="51"/>
      <c r="BF465" s="51"/>
      <c r="BG465" s="51"/>
      <c r="BH465" s="51"/>
      <c r="BI465" s="51"/>
      <c r="BJ465" s="51"/>
      <c r="BK465" s="51"/>
      <c r="BL465" s="51"/>
      <c r="BM465" s="51"/>
      <c r="BN465" s="51"/>
      <c r="BO465" s="51"/>
      <c r="BP465" s="51"/>
      <c r="BQ465" s="51"/>
      <c r="BR465" s="51"/>
      <c r="BS465" s="51"/>
      <c r="BT465" s="51"/>
      <c r="BU465" s="51"/>
      <c r="BV465" s="51"/>
      <c r="BW465" s="51"/>
      <c r="BX465" s="51"/>
      <c r="BY465" s="51"/>
      <c r="BZ465" s="51"/>
      <c r="CA465" s="51"/>
      <c r="CB465" s="51"/>
      <c r="CC465" s="51"/>
      <c r="CD465" s="51"/>
      <c r="CE465" s="51"/>
      <c r="CF465" s="51"/>
      <c r="CG465" s="51"/>
    </row>
    <row r="466" ht="30.0"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c r="BA466" s="51"/>
      <c r="BB466" s="51"/>
      <c r="BC466" s="51"/>
      <c r="BD466" s="51"/>
      <c r="BE466" s="51"/>
      <c r="BF466" s="51"/>
      <c r="BG466" s="51"/>
      <c r="BH466" s="51"/>
      <c r="BI466" s="51"/>
      <c r="BJ466" s="51"/>
      <c r="BK466" s="51"/>
      <c r="BL466" s="51"/>
      <c r="BM466" s="51"/>
      <c r="BN466" s="51"/>
      <c r="BO466" s="51"/>
      <c r="BP466" s="51"/>
      <c r="BQ466" s="51"/>
      <c r="BR466" s="51"/>
      <c r="BS466" s="51"/>
      <c r="BT466" s="51"/>
      <c r="BU466" s="51"/>
      <c r="BV466" s="51"/>
      <c r="BW466" s="51"/>
      <c r="BX466" s="51"/>
      <c r="BY466" s="51"/>
      <c r="BZ466" s="51"/>
      <c r="CA466" s="51"/>
      <c r="CB466" s="51"/>
      <c r="CC466" s="51"/>
      <c r="CD466" s="51"/>
      <c r="CE466" s="51"/>
      <c r="CF466" s="51"/>
      <c r="CG466" s="51"/>
    </row>
    <row r="467" ht="30.0"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c r="BA467" s="51"/>
      <c r="BB467" s="51"/>
      <c r="BC467" s="51"/>
      <c r="BD467" s="51"/>
      <c r="BE467" s="51"/>
      <c r="BF467" s="51"/>
      <c r="BG467" s="51"/>
      <c r="BH467" s="51"/>
      <c r="BI467" s="51"/>
      <c r="BJ467" s="51"/>
      <c r="BK467" s="51"/>
      <c r="BL467" s="51"/>
      <c r="BM467" s="51"/>
      <c r="BN467" s="51"/>
      <c r="BO467" s="51"/>
      <c r="BP467" s="51"/>
      <c r="BQ467" s="51"/>
      <c r="BR467" s="51"/>
      <c r="BS467" s="51"/>
      <c r="BT467" s="51"/>
      <c r="BU467" s="51"/>
      <c r="BV467" s="51"/>
      <c r="BW467" s="51"/>
      <c r="BX467" s="51"/>
      <c r="BY467" s="51"/>
      <c r="BZ467" s="51"/>
      <c r="CA467" s="51"/>
      <c r="CB467" s="51"/>
      <c r="CC467" s="51"/>
      <c r="CD467" s="51"/>
      <c r="CE467" s="51"/>
      <c r="CF467" s="51"/>
      <c r="CG467" s="51"/>
    </row>
    <row r="468" ht="30.0"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c r="BA468" s="51"/>
      <c r="BB468" s="51"/>
      <c r="BC468" s="51"/>
      <c r="BD468" s="51"/>
      <c r="BE468" s="51"/>
      <c r="BF468" s="51"/>
      <c r="BG468" s="51"/>
      <c r="BH468" s="51"/>
      <c r="BI468" s="51"/>
      <c r="BJ468" s="51"/>
      <c r="BK468" s="51"/>
      <c r="BL468" s="51"/>
      <c r="BM468" s="51"/>
      <c r="BN468" s="51"/>
      <c r="BO468" s="51"/>
      <c r="BP468" s="51"/>
      <c r="BQ468" s="51"/>
      <c r="BR468" s="51"/>
      <c r="BS468" s="51"/>
      <c r="BT468" s="51"/>
      <c r="BU468" s="51"/>
      <c r="BV468" s="51"/>
      <c r="BW468" s="51"/>
      <c r="BX468" s="51"/>
      <c r="BY468" s="51"/>
      <c r="BZ468" s="51"/>
      <c r="CA468" s="51"/>
      <c r="CB468" s="51"/>
      <c r="CC468" s="51"/>
      <c r="CD468" s="51"/>
      <c r="CE468" s="51"/>
      <c r="CF468" s="51"/>
      <c r="CG468" s="51"/>
    </row>
    <row r="469" ht="30.0"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c r="BA469" s="51"/>
      <c r="BB469" s="51"/>
      <c r="BC469" s="51"/>
      <c r="BD469" s="51"/>
      <c r="BE469" s="51"/>
      <c r="BF469" s="51"/>
      <c r="BG469" s="51"/>
      <c r="BH469" s="51"/>
      <c r="BI469" s="51"/>
      <c r="BJ469" s="51"/>
      <c r="BK469" s="51"/>
      <c r="BL469" s="51"/>
      <c r="BM469" s="51"/>
      <c r="BN469" s="51"/>
      <c r="BO469" s="51"/>
      <c r="BP469" s="51"/>
      <c r="BQ469" s="51"/>
      <c r="BR469" s="51"/>
      <c r="BS469" s="51"/>
      <c r="BT469" s="51"/>
      <c r="BU469" s="51"/>
      <c r="BV469" s="51"/>
      <c r="BW469" s="51"/>
      <c r="BX469" s="51"/>
      <c r="BY469" s="51"/>
      <c r="BZ469" s="51"/>
      <c r="CA469" s="51"/>
      <c r="CB469" s="51"/>
      <c r="CC469" s="51"/>
      <c r="CD469" s="51"/>
      <c r="CE469" s="51"/>
      <c r="CF469" s="51"/>
      <c r="CG469" s="51"/>
    </row>
    <row r="470" ht="30.0"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c r="BA470" s="51"/>
      <c r="BB470" s="51"/>
      <c r="BC470" s="51"/>
      <c r="BD470" s="51"/>
      <c r="BE470" s="51"/>
      <c r="BF470" s="51"/>
      <c r="BG470" s="51"/>
      <c r="BH470" s="51"/>
      <c r="BI470" s="51"/>
      <c r="BJ470" s="51"/>
      <c r="BK470" s="51"/>
      <c r="BL470" s="51"/>
      <c r="BM470" s="51"/>
      <c r="BN470" s="51"/>
      <c r="BO470" s="51"/>
      <c r="BP470" s="51"/>
      <c r="BQ470" s="51"/>
      <c r="BR470" s="51"/>
      <c r="BS470" s="51"/>
      <c r="BT470" s="51"/>
      <c r="BU470" s="51"/>
      <c r="BV470" s="51"/>
      <c r="BW470" s="51"/>
      <c r="BX470" s="51"/>
      <c r="BY470" s="51"/>
      <c r="BZ470" s="51"/>
      <c r="CA470" s="51"/>
      <c r="CB470" s="51"/>
      <c r="CC470" s="51"/>
      <c r="CD470" s="51"/>
      <c r="CE470" s="51"/>
      <c r="CF470" s="51"/>
      <c r="CG470" s="51"/>
    </row>
    <row r="471" ht="30.0"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c r="BA471" s="51"/>
      <c r="BB471" s="51"/>
      <c r="BC471" s="51"/>
      <c r="BD471" s="51"/>
      <c r="BE471" s="51"/>
      <c r="BF471" s="51"/>
      <c r="BG471" s="51"/>
      <c r="BH471" s="51"/>
      <c r="BI471" s="51"/>
      <c r="BJ471" s="51"/>
      <c r="BK471" s="51"/>
      <c r="BL471" s="51"/>
      <c r="BM471" s="51"/>
      <c r="BN471" s="51"/>
      <c r="BO471" s="51"/>
      <c r="BP471" s="51"/>
      <c r="BQ471" s="51"/>
      <c r="BR471" s="51"/>
      <c r="BS471" s="51"/>
      <c r="BT471" s="51"/>
      <c r="BU471" s="51"/>
      <c r="BV471" s="51"/>
      <c r="BW471" s="51"/>
      <c r="BX471" s="51"/>
      <c r="BY471" s="51"/>
      <c r="BZ471" s="51"/>
      <c r="CA471" s="51"/>
      <c r="CB471" s="51"/>
      <c r="CC471" s="51"/>
      <c r="CD471" s="51"/>
      <c r="CE471" s="51"/>
      <c r="CF471" s="51"/>
      <c r="CG471" s="51"/>
    </row>
    <row r="472" ht="30.0"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c r="BA472" s="51"/>
      <c r="BB472" s="51"/>
      <c r="BC472" s="51"/>
      <c r="BD472" s="51"/>
      <c r="BE472" s="51"/>
      <c r="BF472" s="51"/>
      <c r="BG472" s="51"/>
      <c r="BH472" s="51"/>
      <c r="BI472" s="51"/>
      <c r="BJ472" s="51"/>
      <c r="BK472" s="51"/>
      <c r="BL472" s="51"/>
      <c r="BM472" s="51"/>
      <c r="BN472" s="51"/>
      <c r="BO472" s="51"/>
      <c r="BP472" s="51"/>
      <c r="BQ472" s="51"/>
      <c r="BR472" s="51"/>
      <c r="BS472" s="51"/>
      <c r="BT472" s="51"/>
      <c r="BU472" s="51"/>
      <c r="BV472" s="51"/>
      <c r="BW472" s="51"/>
      <c r="BX472" s="51"/>
      <c r="BY472" s="51"/>
      <c r="BZ472" s="51"/>
      <c r="CA472" s="51"/>
      <c r="CB472" s="51"/>
      <c r="CC472" s="51"/>
      <c r="CD472" s="51"/>
      <c r="CE472" s="51"/>
      <c r="CF472" s="51"/>
      <c r="CG472" s="51"/>
    </row>
    <row r="473" ht="30.0"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c r="BA473" s="51"/>
      <c r="BB473" s="51"/>
      <c r="BC473" s="51"/>
      <c r="BD473" s="51"/>
      <c r="BE473" s="51"/>
      <c r="BF473" s="51"/>
      <c r="BG473" s="51"/>
      <c r="BH473" s="51"/>
      <c r="BI473" s="51"/>
      <c r="BJ473" s="51"/>
      <c r="BK473" s="51"/>
      <c r="BL473" s="51"/>
      <c r="BM473" s="51"/>
      <c r="BN473" s="51"/>
      <c r="BO473" s="51"/>
      <c r="BP473" s="51"/>
      <c r="BQ473" s="51"/>
      <c r="BR473" s="51"/>
      <c r="BS473" s="51"/>
      <c r="BT473" s="51"/>
      <c r="BU473" s="51"/>
      <c r="BV473" s="51"/>
      <c r="BW473" s="51"/>
      <c r="BX473" s="51"/>
      <c r="BY473" s="51"/>
      <c r="BZ473" s="51"/>
      <c r="CA473" s="51"/>
      <c r="CB473" s="51"/>
      <c r="CC473" s="51"/>
      <c r="CD473" s="51"/>
      <c r="CE473" s="51"/>
      <c r="CF473" s="51"/>
      <c r="CG473" s="51"/>
    </row>
    <row r="474" ht="30.0"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c r="BA474" s="51"/>
      <c r="BB474" s="51"/>
      <c r="BC474" s="51"/>
      <c r="BD474" s="51"/>
      <c r="BE474" s="51"/>
      <c r="BF474" s="51"/>
      <c r="BG474" s="51"/>
      <c r="BH474" s="51"/>
      <c r="BI474" s="51"/>
      <c r="BJ474" s="51"/>
      <c r="BK474" s="51"/>
      <c r="BL474" s="51"/>
      <c r="BM474" s="51"/>
      <c r="BN474" s="51"/>
      <c r="BO474" s="51"/>
      <c r="BP474" s="51"/>
      <c r="BQ474" s="51"/>
      <c r="BR474" s="51"/>
      <c r="BS474" s="51"/>
      <c r="BT474" s="51"/>
      <c r="BU474" s="51"/>
      <c r="BV474" s="51"/>
      <c r="BW474" s="51"/>
      <c r="BX474" s="51"/>
      <c r="BY474" s="51"/>
      <c r="BZ474" s="51"/>
      <c r="CA474" s="51"/>
      <c r="CB474" s="51"/>
      <c r="CC474" s="51"/>
      <c r="CD474" s="51"/>
      <c r="CE474" s="51"/>
      <c r="CF474" s="51"/>
      <c r="CG474" s="51"/>
    </row>
    <row r="475" ht="30.0"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c r="BA475" s="51"/>
      <c r="BB475" s="51"/>
      <c r="BC475" s="51"/>
      <c r="BD475" s="51"/>
      <c r="BE475" s="51"/>
      <c r="BF475" s="51"/>
      <c r="BG475" s="51"/>
      <c r="BH475" s="51"/>
      <c r="BI475" s="51"/>
      <c r="BJ475" s="51"/>
      <c r="BK475" s="51"/>
      <c r="BL475" s="51"/>
      <c r="BM475" s="51"/>
      <c r="BN475" s="51"/>
      <c r="BO475" s="51"/>
      <c r="BP475" s="51"/>
      <c r="BQ475" s="51"/>
      <c r="BR475" s="51"/>
      <c r="BS475" s="51"/>
      <c r="BT475" s="51"/>
      <c r="BU475" s="51"/>
      <c r="BV475" s="51"/>
      <c r="BW475" s="51"/>
      <c r="BX475" s="51"/>
      <c r="BY475" s="51"/>
      <c r="BZ475" s="51"/>
      <c r="CA475" s="51"/>
      <c r="CB475" s="51"/>
      <c r="CC475" s="51"/>
      <c r="CD475" s="51"/>
      <c r="CE475" s="51"/>
      <c r="CF475" s="51"/>
      <c r="CG475" s="51"/>
    </row>
    <row r="476" ht="30.0"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c r="BA476" s="51"/>
      <c r="BB476" s="51"/>
      <c r="BC476" s="51"/>
      <c r="BD476" s="51"/>
      <c r="BE476" s="51"/>
      <c r="BF476" s="51"/>
      <c r="BG476" s="51"/>
      <c r="BH476" s="51"/>
      <c r="BI476" s="51"/>
      <c r="BJ476" s="51"/>
      <c r="BK476" s="51"/>
      <c r="BL476" s="51"/>
      <c r="BM476" s="51"/>
      <c r="BN476" s="51"/>
      <c r="BO476" s="51"/>
      <c r="BP476" s="51"/>
      <c r="BQ476" s="51"/>
      <c r="BR476" s="51"/>
      <c r="BS476" s="51"/>
      <c r="BT476" s="51"/>
      <c r="BU476" s="51"/>
      <c r="BV476" s="51"/>
      <c r="BW476" s="51"/>
      <c r="BX476" s="51"/>
      <c r="BY476" s="51"/>
      <c r="BZ476" s="51"/>
      <c r="CA476" s="51"/>
      <c r="CB476" s="51"/>
      <c r="CC476" s="51"/>
      <c r="CD476" s="51"/>
      <c r="CE476" s="51"/>
      <c r="CF476" s="51"/>
      <c r="CG476" s="51"/>
    </row>
    <row r="477" ht="30.0"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c r="BA477" s="51"/>
      <c r="BB477" s="51"/>
      <c r="BC477" s="51"/>
      <c r="BD477" s="51"/>
      <c r="BE477" s="51"/>
      <c r="BF477" s="51"/>
      <c r="BG477" s="51"/>
      <c r="BH477" s="51"/>
      <c r="BI477" s="51"/>
      <c r="BJ477" s="51"/>
      <c r="BK477" s="51"/>
      <c r="BL477" s="51"/>
      <c r="BM477" s="51"/>
      <c r="BN477" s="51"/>
      <c r="BO477" s="51"/>
      <c r="BP477" s="51"/>
      <c r="BQ477" s="51"/>
      <c r="BR477" s="51"/>
      <c r="BS477" s="51"/>
      <c r="BT477" s="51"/>
      <c r="BU477" s="51"/>
      <c r="BV477" s="51"/>
      <c r="BW477" s="51"/>
      <c r="BX477" s="51"/>
      <c r="BY477" s="51"/>
      <c r="BZ477" s="51"/>
      <c r="CA477" s="51"/>
      <c r="CB477" s="51"/>
      <c r="CC477" s="51"/>
      <c r="CD477" s="51"/>
      <c r="CE477" s="51"/>
      <c r="CF477" s="51"/>
      <c r="CG477" s="51"/>
    </row>
    <row r="478" ht="30.0"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c r="BA478" s="51"/>
      <c r="BB478" s="51"/>
      <c r="BC478" s="51"/>
      <c r="BD478" s="51"/>
      <c r="BE478" s="51"/>
      <c r="BF478" s="51"/>
      <c r="BG478" s="51"/>
      <c r="BH478" s="51"/>
      <c r="BI478" s="51"/>
      <c r="BJ478" s="51"/>
      <c r="BK478" s="51"/>
      <c r="BL478" s="51"/>
      <c r="BM478" s="51"/>
      <c r="BN478" s="51"/>
      <c r="BO478" s="51"/>
      <c r="BP478" s="51"/>
      <c r="BQ478" s="51"/>
      <c r="BR478" s="51"/>
      <c r="BS478" s="51"/>
      <c r="BT478" s="51"/>
      <c r="BU478" s="51"/>
      <c r="BV478" s="51"/>
      <c r="BW478" s="51"/>
      <c r="BX478" s="51"/>
      <c r="BY478" s="51"/>
      <c r="BZ478" s="51"/>
      <c r="CA478" s="51"/>
      <c r="CB478" s="51"/>
      <c r="CC478" s="51"/>
      <c r="CD478" s="51"/>
      <c r="CE478" s="51"/>
      <c r="CF478" s="51"/>
      <c r="CG478" s="51"/>
    </row>
    <row r="479" ht="30.0"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c r="BA479" s="51"/>
      <c r="BB479" s="51"/>
      <c r="BC479" s="51"/>
      <c r="BD479" s="51"/>
      <c r="BE479" s="51"/>
      <c r="BF479" s="51"/>
      <c r="BG479" s="51"/>
      <c r="BH479" s="51"/>
      <c r="BI479" s="51"/>
      <c r="BJ479" s="51"/>
      <c r="BK479" s="51"/>
      <c r="BL479" s="51"/>
      <c r="BM479" s="51"/>
      <c r="BN479" s="51"/>
      <c r="BO479" s="51"/>
      <c r="BP479" s="51"/>
      <c r="BQ479" s="51"/>
      <c r="BR479" s="51"/>
      <c r="BS479" s="51"/>
      <c r="BT479" s="51"/>
      <c r="BU479" s="51"/>
      <c r="BV479" s="51"/>
      <c r="BW479" s="51"/>
      <c r="BX479" s="51"/>
      <c r="BY479" s="51"/>
      <c r="BZ479" s="51"/>
      <c r="CA479" s="51"/>
      <c r="CB479" s="51"/>
      <c r="CC479" s="51"/>
      <c r="CD479" s="51"/>
      <c r="CE479" s="51"/>
      <c r="CF479" s="51"/>
      <c r="CG479" s="51"/>
    </row>
    <row r="480" ht="30.0"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c r="BA480" s="51"/>
      <c r="BB480" s="51"/>
      <c r="BC480" s="51"/>
      <c r="BD480" s="51"/>
      <c r="BE480" s="51"/>
      <c r="BF480" s="51"/>
      <c r="BG480" s="51"/>
      <c r="BH480" s="51"/>
      <c r="BI480" s="51"/>
      <c r="BJ480" s="51"/>
      <c r="BK480" s="51"/>
      <c r="BL480" s="51"/>
      <c r="BM480" s="51"/>
      <c r="BN480" s="51"/>
      <c r="BO480" s="51"/>
      <c r="BP480" s="51"/>
      <c r="BQ480" s="51"/>
      <c r="BR480" s="51"/>
      <c r="BS480" s="51"/>
      <c r="BT480" s="51"/>
      <c r="BU480" s="51"/>
      <c r="BV480" s="51"/>
      <c r="BW480" s="51"/>
      <c r="BX480" s="51"/>
      <c r="BY480" s="51"/>
      <c r="BZ480" s="51"/>
      <c r="CA480" s="51"/>
      <c r="CB480" s="51"/>
      <c r="CC480" s="51"/>
      <c r="CD480" s="51"/>
      <c r="CE480" s="51"/>
      <c r="CF480" s="51"/>
      <c r="CG480" s="51"/>
    </row>
    <row r="481" ht="30.0"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c r="BA481" s="51"/>
      <c r="BB481" s="51"/>
      <c r="BC481" s="51"/>
      <c r="BD481" s="51"/>
      <c r="BE481" s="51"/>
      <c r="BF481" s="51"/>
      <c r="BG481" s="51"/>
      <c r="BH481" s="51"/>
      <c r="BI481" s="51"/>
      <c r="BJ481" s="51"/>
      <c r="BK481" s="51"/>
      <c r="BL481" s="51"/>
      <c r="BM481" s="51"/>
      <c r="BN481" s="51"/>
      <c r="BO481" s="51"/>
      <c r="BP481" s="51"/>
      <c r="BQ481" s="51"/>
      <c r="BR481" s="51"/>
      <c r="BS481" s="51"/>
      <c r="BT481" s="51"/>
      <c r="BU481" s="51"/>
      <c r="BV481" s="51"/>
      <c r="BW481" s="51"/>
      <c r="BX481" s="51"/>
      <c r="BY481" s="51"/>
      <c r="BZ481" s="51"/>
      <c r="CA481" s="51"/>
      <c r="CB481" s="51"/>
      <c r="CC481" s="51"/>
      <c r="CD481" s="51"/>
      <c r="CE481" s="51"/>
      <c r="CF481" s="51"/>
      <c r="CG481" s="51"/>
    </row>
    <row r="482" ht="30.0"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c r="BA482" s="51"/>
      <c r="BB482" s="51"/>
      <c r="BC482" s="51"/>
      <c r="BD482" s="51"/>
      <c r="BE482" s="51"/>
      <c r="BF482" s="51"/>
      <c r="BG482" s="51"/>
      <c r="BH482" s="51"/>
      <c r="BI482" s="51"/>
      <c r="BJ482" s="51"/>
      <c r="BK482" s="51"/>
      <c r="BL482" s="51"/>
      <c r="BM482" s="51"/>
      <c r="BN482" s="51"/>
      <c r="BO482" s="51"/>
      <c r="BP482" s="51"/>
      <c r="BQ482" s="51"/>
      <c r="BR482" s="51"/>
      <c r="BS482" s="51"/>
      <c r="BT482" s="51"/>
      <c r="BU482" s="51"/>
      <c r="BV482" s="51"/>
      <c r="BW482" s="51"/>
      <c r="BX482" s="51"/>
      <c r="BY482" s="51"/>
      <c r="BZ482" s="51"/>
      <c r="CA482" s="51"/>
      <c r="CB482" s="51"/>
      <c r="CC482" s="51"/>
      <c r="CD482" s="51"/>
      <c r="CE482" s="51"/>
      <c r="CF482" s="51"/>
      <c r="CG482" s="51"/>
    </row>
    <row r="483" ht="30.0"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c r="BA483" s="51"/>
      <c r="BB483" s="51"/>
      <c r="BC483" s="51"/>
      <c r="BD483" s="51"/>
      <c r="BE483" s="51"/>
      <c r="BF483" s="51"/>
      <c r="BG483" s="51"/>
      <c r="BH483" s="51"/>
      <c r="BI483" s="51"/>
      <c r="BJ483" s="51"/>
      <c r="BK483" s="51"/>
      <c r="BL483" s="51"/>
      <c r="BM483" s="51"/>
      <c r="BN483" s="51"/>
      <c r="BO483" s="51"/>
      <c r="BP483" s="51"/>
      <c r="BQ483" s="51"/>
      <c r="BR483" s="51"/>
      <c r="BS483" s="51"/>
      <c r="BT483" s="51"/>
      <c r="BU483" s="51"/>
      <c r="BV483" s="51"/>
      <c r="BW483" s="51"/>
      <c r="BX483" s="51"/>
      <c r="BY483" s="51"/>
      <c r="BZ483" s="51"/>
      <c r="CA483" s="51"/>
      <c r="CB483" s="51"/>
      <c r="CC483" s="51"/>
      <c r="CD483" s="51"/>
      <c r="CE483" s="51"/>
      <c r="CF483" s="51"/>
      <c r="CG483" s="51"/>
    </row>
    <row r="484" ht="30.0"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c r="BA484" s="51"/>
      <c r="BB484" s="51"/>
      <c r="BC484" s="51"/>
      <c r="BD484" s="51"/>
      <c r="BE484" s="51"/>
      <c r="BF484" s="51"/>
      <c r="BG484" s="51"/>
      <c r="BH484" s="51"/>
      <c r="BI484" s="51"/>
      <c r="BJ484" s="51"/>
      <c r="BK484" s="51"/>
      <c r="BL484" s="51"/>
      <c r="BM484" s="51"/>
      <c r="BN484" s="51"/>
      <c r="BO484" s="51"/>
      <c r="BP484" s="51"/>
      <c r="BQ484" s="51"/>
      <c r="BR484" s="51"/>
      <c r="BS484" s="51"/>
      <c r="BT484" s="51"/>
      <c r="BU484" s="51"/>
      <c r="BV484" s="51"/>
      <c r="BW484" s="51"/>
      <c r="BX484" s="51"/>
      <c r="BY484" s="51"/>
      <c r="BZ484" s="51"/>
      <c r="CA484" s="51"/>
      <c r="CB484" s="51"/>
      <c r="CC484" s="51"/>
      <c r="CD484" s="51"/>
      <c r="CE484" s="51"/>
      <c r="CF484" s="51"/>
      <c r="CG484" s="51"/>
    </row>
    <row r="485" ht="30.0"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c r="BA485" s="51"/>
      <c r="BB485" s="51"/>
      <c r="BC485" s="51"/>
      <c r="BD485" s="51"/>
      <c r="BE485" s="51"/>
      <c r="BF485" s="51"/>
      <c r="BG485" s="51"/>
      <c r="BH485" s="51"/>
      <c r="BI485" s="51"/>
      <c r="BJ485" s="51"/>
      <c r="BK485" s="51"/>
      <c r="BL485" s="51"/>
      <c r="BM485" s="51"/>
      <c r="BN485" s="51"/>
      <c r="BO485" s="51"/>
      <c r="BP485" s="51"/>
      <c r="BQ485" s="51"/>
      <c r="BR485" s="51"/>
      <c r="BS485" s="51"/>
      <c r="BT485" s="51"/>
      <c r="BU485" s="51"/>
      <c r="BV485" s="51"/>
      <c r="BW485" s="51"/>
      <c r="BX485" s="51"/>
      <c r="BY485" s="51"/>
      <c r="BZ485" s="51"/>
      <c r="CA485" s="51"/>
      <c r="CB485" s="51"/>
      <c r="CC485" s="51"/>
      <c r="CD485" s="51"/>
      <c r="CE485" s="51"/>
      <c r="CF485" s="51"/>
      <c r="CG485" s="51"/>
    </row>
    <row r="486" ht="30.0"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c r="BA486" s="51"/>
      <c r="BB486" s="51"/>
      <c r="BC486" s="51"/>
      <c r="BD486" s="51"/>
      <c r="BE486" s="51"/>
      <c r="BF486" s="51"/>
      <c r="BG486" s="51"/>
      <c r="BH486" s="51"/>
      <c r="BI486" s="51"/>
      <c r="BJ486" s="51"/>
      <c r="BK486" s="51"/>
      <c r="BL486" s="51"/>
      <c r="BM486" s="51"/>
      <c r="BN486" s="51"/>
      <c r="BO486" s="51"/>
      <c r="BP486" s="51"/>
      <c r="BQ486" s="51"/>
      <c r="BR486" s="51"/>
      <c r="BS486" s="51"/>
      <c r="BT486" s="51"/>
      <c r="BU486" s="51"/>
      <c r="BV486" s="51"/>
      <c r="BW486" s="51"/>
      <c r="BX486" s="51"/>
      <c r="BY486" s="51"/>
      <c r="BZ486" s="51"/>
      <c r="CA486" s="51"/>
      <c r="CB486" s="51"/>
      <c r="CC486" s="51"/>
      <c r="CD486" s="51"/>
      <c r="CE486" s="51"/>
      <c r="CF486" s="51"/>
      <c r="CG486" s="51"/>
    </row>
    <row r="487" ht="30.0"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c r="BA487" s="51"/>
      <c r="BB487" s="51"/>
      <c r="BC487" s="51"/>
      <c r="BD487" s="51"/>
      <c r="BE487" s="51"/>
      <c r="BF487" s="51"/>
      <c r="BG487" s="51"/>
      <c r="BH487" s="51"/>
      <c r="BI487" s="51"/>
      <c r="BJ487" s="51"/>
      <c r="BK487" s="51"/>
      <c r="BL487" s="51"/>
      <c r="BM487" s="51"/>
      <c r="BN487" s="51"/>
      <c r="BO487" s="51"/>
      <c r="BP487" s="51"/>
      <c r="BQ487" s="51"/>
      <c r="BR487" s="51"/>
      <c r="BS487" s="51"/>
      <c r="BT487" s="51"/>
      <c r="BU487" s="51"/>
      <c r="BV487" s="51"/>
      <c r="BW487" s="51"/>
      <c r="BX487" s="51"/>
      <c r="BY487" s="51"/>
      <c r="BZ487" s="51"/>
      <c r="CA487" s="51"/>
      <c r="CB487" s="51"/>
      <c r="CC487" s="51"/>
      <c r="CD487" s="51"/>
      <c r="CE487" s="51"/>
      <c r="CF487" s="51"/>
      <c r="CG487" s="51"/>
    </row>
    <row r="488" ht="30.0"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c r="BA488" s="51"/>
      <c r="BB488" s="51"/>
      <c r="BC488" s="51"/>
      <c r="BD488" s="51"/>
      <c r="BE488" s="51"/>
      <c r="BF488" s="51"/>
      <c r="BG488" s="51"/>
      <c r="BH488" s="51"/>
      <c r="BI488" s="51"/>
      <c r="BJ488" s="51"/>
      <c r="BK488" s="51"/>
      <c r="BL488" s="51"/>
      <c r="BM488" s="51"/>
      <c r="BN488" s="51"/>
      <c r="BO488" s="51"/>
      <c r="BP488" s="51"/>
      <c r="BQ488" s="51"/>
      <c r="BR488" s="51"/>
      <c r="BS488" s="51"/>
      <c r="BT488" s="51"/>
      <c r="BU488" s="51"/>
      <c r="BV488" s="51"/>
      <c r="BW488" s="51"/>
      <c r="BX488" s="51"/>
      <c r="BY488" s="51"/>
      <c r="BZ488" s="51"/>
      <c r="CA488" s="51"/>
      <c r="CB488" s="51"/>
      <c r="CC488" s="51"/>
      <c r="CD488" s="51"/>
      <c r="CE488" s="51"/>
      <c r="CF488" s="51"/>
      <c r="CG488" s="51"/>
    </row>
    <row r="489" ht="30.0"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c r="BA489" s="51"/>
      <c r="BB489" s="51"/>
      <c r="BC489" s="51"/>
      <c r="BD489" s="51"/>
      <c r="BE489" s="51"/>
      <c r="BF489" s="51"/>
      <c r="BG489" s="51"/>
      <c r="BH489" s="51"/>
      <c r="BI489" s="51"/>
      <c r="BJ489" s="51"/>
      <c r="BK489" s="51"/>
      <c r="BL489" s="51"/>
      <c r="BM489" s="51"/>
      <c r="BN489" s="51"/>
      <c r="BO489" s="51"/>
      <c r="BP489" s="51"/>
      <c r="BQ489" s="51"/>
      <c r="BR489" s="51"/>
      <c r="BS489" s="51"/>
      <c r="BT489" s="51"/>
      <c r="BU489" s="51"/>
      <c r="BV489" s="51"/>
      <c r="BW489" s="51"/>
      <c r="BX489" s="51"/>
      <c r="BY489" s="51"/>
      <c r="BZ489" s="51"/>
      <c r="CA489" s="51"/>
      <c r="CB489" s="51"/>
      <c r="CC489" s="51"/>
      <c r="CD489" s="51"/>
      <c r="CE489" s="51"/>
      <c r="CF489" s="51"/>
      <c r="CG489" s="51"/>
    </row>
    <row r="490" ht="30.0"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c r="BA490" s="51"/>
      <c r="BB490" s="51"/>
      <c r="BC490" s="51"/>
      <c r="BD490" s="51"/>
      <c r="BE490" s="51"/>
      <c r="BF490" s="51"/>
      <c r="BG490" s="51"/>
      <c r="BH490" s="51"/>
      <c r="BI490" s="51"/>
      <c r="BJ490" s="51"/>
      <c r="BK490" s="51"/>
      <c r="BL490" s="51"/>
      <c r="BM490" s="51"/>
      <c r="BN490" s="51"/>
      <c r="BO490" s="51"/>
      <c r="BP490" s="51"/>
      <c r="BQ490" s="51"/>
      <c r="BR490" s="51"/>
      <c r="BS490" s="51"/>
      <c r="BT490" s="51"/>
      <c r="BU490" s="51"/>
      <c r="BV490" s="51"/>
      <c r="BW490" s="51"/>
      <c r="BX490" s="51"/>
      <c r="BY490" s="51"/>
      <c r="BZ490" s="51"/>
      <c r="CA490" s="51"/>
      <c r="CB490" s="51"/>
      <c r="CC490" s="51"/>
      <c r="CD490" s="51"/>
      <c r="CE490" s="51"/>
      <c r="CF490" s="51"/>
      <c r="CG490" s="51"/>
    </row>
    <row r="491" ht="30.0"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c r="BA491" s="51"/>
      <c r="BB491" s="51"/>
      <c r="BC491" s="51"/>
      <c r="BD491" s="51"/>
      <c r="BE491" s="51"/>
      <c r="BF491" s="51"/>
      <c r="BG491" s="51"/>
      <c r="BH491" s="51"/>
      <c r="BI491" s="51"/>
      <c r="BJ491" s="51"/>
      <c r="BK491" s="51"/>
      <c r="BL491" s="51"/>
      <c r="BM491" s="51"/>
      <c r="BN491" s="51"/>
      <c r="BO491" s="51"/>
      <c r="BP491" s="51"/>
      <c r="BQ491" s="51"/>
      <c r="BR491" s="51"/>
      <c r="BS491" s="51"/>
      <c r="BT491" s="51"/>
      <c r="BU491" s="51"/>
      <c r="BV491" s="51"/>
      <c r="BW491" s="51"/>
      <c r="BX491" s="51"/>
      <c r="BY491" s="51"/>
      <c r="BZ491" s="51"/>
      <c r="CA491" s="51"/>
      <c r="CB491" s="51"/>
      <c r="CC491" s="51"/>
      <c r="CD491" s="51"/>
      <c r="CE491" s="51"/>
      <c r="CF491" s="51"/>
      <c r="CG491" s="51"/>
    </row>
    <row r="492" ht="30.0"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c r="BA492" s="51"/>
      <c r="BB492" s="51"/>
      <c r="BC492" s="51"/>
      <c r="BD492" s="51"/>
      <c r="BE492" s="51"/>
      <c r="BF492" s="51"/>
      <c r="BG492" s="51"/>
      <c r="BH492" s="51"/>
      <c r="BI492" s="51"/>
      <c r="BJ492" s="51"/>
      <c r="BK492" s="51"/>
      <c r="BL492" s="51"/>
      <c r="BM492" s="51"/>
      <c r="BN492" s="51"/>
      <c r="BO492" s="51"/>
      <c r="BP492" s="51"/>
      <c r="BQ492" s="51"/>
      <c r="BR492" s="51"/>
      <c r="BS492" s="51"/>
      <c r="BT492" s="51"/>
      <c r="BU492" s="51"/>
      <c r="BV492" s="51"/>
      <c r="BW492" s="51"/>
      <c r="BX492" s="51"/>
      <c r="BY492" s="51"/>
      <c r="BZ492" s="51"/>
      <c r="CA492" s="51"/>
      <c r="CB492" s="51"/>
      <c r="CC492" s="51"/>
      <c r="CD492" s="51"/>
      <c r="CE492" s="51"/>
      <c r="CF492" s="51"/>
      <c r="CG492" s="51"/>
    </row>
    <row r="493" ht="30.0"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c r="BA493" s="51"/>
      <c r="BB493" s="51"/>
      <c r="BC493" s="51"/>
      <c r="BD493" s="51"/>
      <c r="BE493" s="51"/>
      <c r="BF493" s="51"/>
      <c r="BG493" s="51"/>
      <c r="BH493" s="51"/>
      <c r="BI493" s="51"/>
      <c r="BJ493" s="51"/>
      <c r="BK493" s="51"/>
      <c r="BL493" s="51"/>
      <c r="BM493" s="51"/>
      <c r="BN493" s="51"/>
      <c r="BO493" s="51"/>
      <c r="BP493" s="51"/>
      <c r="BQ493" s="51"/>
      <c r="BR493" s="51"/>
      <c r="BS493" s="51"/>
      <c r="BT493" s="51"/>
      <c r="BU493" s="51"/>
      <c r="BV493" s="51"/>
      <c r="BW493" s="51"/>
      <c r="BX493" s="51"/>
      <c r="BY493" s="51"/>
      <c r="BZ493" s="51"/>
      <c r="CA493" s="51"/>
      <c r="CB493" s="51"/>
      <c r="CC493" s="51"/>
      <c r="CD493" s="51"/>
      <c r="CE493" s="51"/>
      <c r="CF493" s="51"/>
      <c r="CG493" s="51"/>
    </row>
    <row r="494" ht="30.0"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c r="BA494" s="51"/>
      <c r="BB494" s="51"/>
      <c r="BC494" s="51"/>
      <c r="BD494" s="51"/>
      <c r="BE494" s="51"/>
      <c r="BF494" s="51"/>
      <c r="BG494" s="51"/>
      <c r="BH494" s="51"/>
      <c r="BI494" s="51"/>
      <c r="BJ494" s="51"/>
      <c r="BK494" s="51"/>
      <c r="BL494" s="51"/>
      <c r="BM494" s="51"/>
      <c r="BN494" s="51"/>
      <c r="BO494" s="51"/>
      <c r="BP494" s="51"/>
      <c r="BQ494" s="51"/>
      <c r="BR494" s="51"/>
      <c r="BS494" s="51"/>
      <c r="BT494" s="51"/>
      <c r="BU494" s="51"/>
      <c r="BV494" s="51"/>
      <c r="BW494" s="51"/>
      <c r="BX494" s="51"/>
      <c r="BY494" s="51"/>
      <c r="BZ494" s="51"/>
      <c r="CA494" s="51"/>
      <c r="CB494" s="51"/>
      <c r="CC494" s="51"/>
      <c r="CD494" s="51"/>
      <c r="CE494" s="51"/>
      <c r="CF494" s="51"/>
      <c r="CG494" s="51"/>
    </row>
    <row r="495" ht="30.0"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c r="BA495" s="51"/>
      <c r="BB495" s="51"/>
      <c r="BC495" s="51"/>
      <c r="BD495" s="51"/>
      <c r="BE495" s="51"/>
      <c r="BF495" s="51"/>
      <c r="BG495" s="51"/>
      <c r="BH495" s="51"/>
      <c r="BI495" s="51"/>
      <c r="BJ495" s="51"/>
      <c r="BK495" s="51"/>
      <c r="BL495" s="51"/>
      <c r="BM495" s="51"/>
      <c r="BN495" s="51"/>
      <c r="BO495" s="51"/>
      <c r="BP495" s="51"/>
      <c r="BQ495" s="51"/>
      <c r="BR495" s="51"/>
      <c r="BS495" s="51"/>
      <c r="BT495" s="51"/>
      <c r="BU495" s="51"/>
      <c r="BV495" s="51"/>
      <c r="BW495" s="51"/>
      <c r="BX495" s="51"/>
      <c r="BY495" s="51"/>
      <c r="BZ495" s="51"/>
      <c r="CA495" s="51"/>
      <c r="CB495" s="51"/>
      <c r="CC495" s="51"/>
      <c r="CD495" s="51"/>
      <c r="CE495" s="51"/>
      <c r="CF495" s="51"/>
      <c r="CG495" s="51"/>
    </row>
    <row r="496" ht="30.0"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c r="BA496" s="51"/>
      <c r="BB496" s="51"/>
      <c r="BC496" s="51"/>
      <c r="BD496" s="51"/>
      <c r="BE496" s="51"/>
      <c r="BF496" s="51"/>
      <c r="BG496" s="51"/>
      <c r="BH496" s="51"/>
      <c r="BI496" s="51"/>
      <c r="BJ496" s="51"/>
      <c r="BK496" s="51"/>
      <c r="BL496" s="51"/>
      <c r="BM496" s="51"/>
      <c r="BN496" s="51"/>
      <c r="BO496" s="51"/>
      <c r="BP496" s="51"/>
      <c r="BQ496" s="51"/>
      <c r="BR496" s="51"/>
      <c r="BS496" s="51"/>
      <c r="BT496" s="51"/>
      <c r="BU496" s="51"/>
      <c r="BV496" s="51"/>
      <c r="BW496" s="51"/>
      <c r="BX496" s="51"/>
      <c r="BY496" s="51"/>
      <c r="BZ496" s="51"/>
      <c r="CA496" s="51"/>
      <c r="CB496" s="51"/>
      <c r="CC496" s="51"/>
      <c r="CD496" s="51"/>
      <c r="CE496" s="51"/>
      <c r="CF496" s="51"/>
      <c r="CG496" s="51"/>
    </row>
    <row r="497" ht="30.0"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c r="BA497" s="51"/>
      <c r="BB497" s="51"/>
      <c r="BC497" s="51"/>
      <c r="BD497" s="51"/>
      <c r="BE497" s="51"/>
      <c r="BF497" s="51"/>
      <c r="BG497" s="51"/>
      <c r="BH497" s="51"/>
      <c r="BI497" s="51"/>
      <c r="BJ497" s="51"/>
      <c r="BK497" s="51"/>
      <c r="BL497" s="51"/>
      <c r="BM497" s="51"/>
      <c r="BN497" s="51"/>
      <c r="BO497" s="51"/>
      <c r="BP497" s="51"/>
      <c r="BQ497" s="51"/>
      <c r="BR497" s="51"/>
      <c r="BS497" s="51"/>
      <c r="BT497" s="51"/>
      <c r="BU497" s="51"/>
      <c r="BV497" s="51"/>
      <c r="BW497" s="51"/>
      <c r="BX497" s="51"/>
      <c r="BY497" s="51"/>
      <c r="BZ497" s="51"/>
      <c r="CA497" s="51"/>
      <c r="CB497" s="51"/>
      <c r="CC497" s="51"/>
      <c r="CD497" s="51"/>
      <c r="CE497" s="51"/>
      <c r="CF497" s="51"/>
      <c r="CG497" s="51"/>
    </row>
    <row r="498" ht="30.0"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c r="BA498" s="51"/>
      <c r="BB498" s="51"/>
      <c r="BC498" s="51"/>
      <c r="BD498" s="51"/>
      <c r="BE498" s="51"/>
      <c r="BF498" s="51"/>
      <c r="BG498" s="51"/>
      <c r="BH498" s="51"/>
      <c r="BI498" s="51"/>
      <c r="BJ498" s="51"/>
      <c r="BK498" s="51"/>
      <c r="BL498" s="51"/>
      <c r="BM498" s="51"/>
      <c r="BN498" s="51"/>
      <c r="BO498" s="51"/>
      <c r="BP498" s="51"/>
      <c r="BQ498" s="51"/>
      <c r="BR498" s="51"/>
      <c r="BS498" s="51"/>
      <c r="BT498" s="51"/>
      <c r="BU498" s="51"/>
      <c r="BV498" s="51"/>
      <c r="BW498" s="51"/>
      <c r="BX498" s="51"/>
      <c r="BY498" s="51"/>
      <c r="BZ498" s="51"/>
      <c r="CA498" s="51"/>
      <c r="CB498" s="51"/>
      <c r="CC498" s="51"/>
      <c r="CD498" s="51"/>
      <c r="CE498" s="51"/>
      <c r="CF498" s="51"/>
      <c r="CG498" s="51"/>
    </row>
    <row r="499" ht="30.0"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c r="BA499" s="51"/>
      <c r="BB499" s="51"/>
      <c r="BC499" s="51"/>
      <c r="BD499" s="51"/>
      <c r="BE499" s="51"/>
      <c r="BF499" s="51"/>
      <c r="BG499" s="51"/>
      <c r="BH499" s="51"/>
      <c r="BI499" s="51"/>
      <c r="BJ499" s="51"/>
      <c r="BK499" s="51"/>
      <c r="BL499" s="51"/>
      <c r="BM499" s="51"/>
      <c r="BN499" s="51"/>
      <c r="BO499" s="51"/>
      <c r="BP499" s="51"/>
      <c r="BQ499" s="51"/>
      <c r="BR499" s="51"/>
      <c r="BS499" s="51"/>
      <c r="BT499" s="51"/>
      <c r="BU499" s="51"/>
      <c r="BV499" s="51"/>
      <c r="BW499" s="51"/>
      <c r="BX499" s="51"/>
      <c r="BY499" s="51"/>
      <c r="BZ499" s="51"/>
      <c r="CA499" s="51"/>
      <c r="CB499" s="51"/>
      <c r="CC499" s="51"/>
      <c r="CD499" s="51"/>
      <c r="CE499" s="51"/>
      <c r="CF499" s="51"/>
      <c r="CG499" s="51"/>
    </row>
    <row r="500" ht="30.0"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c r="BA500" s="51"/>
      <c r="BB500" s="51"/>
      <c r="BC500" s="51"/>
      <c r="BD500" s="51"/>
      <c r="BE500" s="51"/>
      <c r="BF500" s="51"/>
      <c r="BG500" s="51"/>
      <c r="BH500" s="51"/>
      <c r="BI500" s="51"/>
      <c r="BJ500" s="51"/>
      <c r="BK500" s="51"/>
      <c r="BL500" s="51"/>
      <c r="BM500" s="51"/>
      <c r="BN500" s="51"/>
      <c r="BO500" s="51"/>
      <c r="BP500" s="51"/>
      <c r="BQ500" s="51"/>
      <c r="BR500" s="51"/>
      <c r="BS500" s="51"/>
      <c r="BT500" s="51"/>
      <c r="BU500" s="51"/>
      <c r="BV500" s="51"/>
      <c r="BW500" s="51"/>
      <c r="BX500" s="51"/>
      <c r="BY500" s="51"/>
      <c r="BZ500" s="51"/>
      <c r="CA500" s="51"/>
      <c r="CB500" s="51"/>
      <c r="CC500" s="51"/>
      <c r="CD500" s="51"/>
      <c r="CE500" s="51"/>
      <c r="CF500" s="51"/>
      <c r="CG500" s="51"/>
    </row>
    <row r="501" ht="30.0"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c r="BA501" s="51"/>
      <c r="BB501" s="51"/>
      <c r="BC501" s="51"/>
      <c r="BD501" s="51"/>
      <c r="BE501" s="51"/>
      <c r="BF501" s="51"/>
      <c r="BG501" s="51"/>
      <c r="BH501" s="51"/>
      <c r="BI501" s="51"/>
      <c r="BJ501" s="51"/>
      <c r="BK501" s="51"/>
      <c r="BL501" s="51"/>
      <c r="BM501" s="51"/>
      <c r="BN501" s="51"/>
      <c r="BO501" s="51"/>
      <c r="BP501" s="51"/>
      <c r="BQ501" s="51"/>
      <c r="BR501" s="51"/>
      <c r="BS501" s="51"/>
      <c r="BT501" s="51"/>
      <c r="BU501" s="51"/>
      <c r="BV501" s="51"/>
      <c r="BW501" s="51"/>
      <c r="BX501" s="51"/>
      <c r="BY501" s="51"/>
      <c r="BZ501" s="51"/>
      <c r="CA501" s="51"/>
      <c r="CB501" s="51"/>
      <c r="CC501" s="51"/>
      <c r="CD501" s="51"/>
      <c r="CE501" s="51"/>
      <c r="CF501" s="51"/>
      <c r="CG501" s="51"/>
    </row>
    <row r="502" ht="30.0"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c r="BA502" s="51"/>
      <c r="BB502" s="51"/>
      <c r="BC502" s="51"/>
      <c r="BD502" s="51"/>
      <c r="BE502" s="51"/>
      <c r="BF502" s="51"/>
      <c r="BG502" s="51"/>
      <c r="BH502" s="51"/>
      <c r="BI502" s="51"/>
      <c r="BJ502" s="51"/>
      <c r="BK502" s="51"/>
      <c r="BL502" s="51"/>
      <c r="BM502" s="51"/>
      <c r="BN502" s="51"/>
      <c r="BO502" s="51"/>
      <c r="BP502" s="51"/>
      <c r="BQ502" s="51"/>
      <c r="BR502" s="51"/>
      <c r="BS502" s="51"/>
      <c r="BT502" s="51"/>
      <c r="BU502" s="51"/>
      <c r="BV502" s="51"/>
      <c r="BW502" s="51"/>
      <c r="BX502" s="51"/>
      <c r="BY502" s="51"/>
      <c r="BZ502" s="51"/>
      <c r="CA502" s="51"/>
      <c r="CB502" s="51"/>
      <c r="CC502" s="51"/>
      <c r="CD502" s="51"/>
      <c r="CE502" s="51"/>
      <c r="CF502" s="51"/>
      <c r="CG502" s="51"/>
    </row>
    <row r="503" ht="30.0"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c r="BA503" s="51"/>
      <c r="BB503" s="51"/>
      <c r="BC503" s="51"/>
      <c r="BD503" s="51"/>
      <c r="BE503" s="51"/>
      <c r="BF503" s="51"/>
      <c r="BG503" s="51"/>
      <c r="BH503" s="51"/>
      <c r="BI503" s="51"/>
      <c r="BJ503" s="51"/>
      <c r="BK503" s="51"/>
      <c r="BL503" s="51"/>
      <c r="BM503" s="51"/>
      <c r="BN503" s="51"/>
      <c r="BO503" s="51"/>
      <c r="BP503" s="51"/>
      <c r="BQ503" s="51"/>
      <c r="BR503" s="51"/>
      <c r="BS503" s="51"/>
      <c r="BT503" s="51"/>
      <c r="BU503" s="51"/>
      <c r="BV503" s="51"/>
      <c r="BW503" s="51"/>
      <c r="BX503" s="51"/>
      <c r="BY503" s="51"/>
      <c r="BZ503" s="51"/>
      <c r="CA503" s="51"/>
      <c r="CB503" s="51"/>
      <c r="CC503" s="51"/>
      <c r="CD503" s="51"/>
      <c r="CE503" s="51"/>
      <c r="CF503" s="51"/>
      <c r="CG503" s="51"/>
    </row>
    <row r="504" ht="30.0"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c r="BA504" s="51"/>
      <c r="BB504" s="51"/>
      <c r="BC504" s="51"/>
      <c r="BD504" s="51"/>
      <c r="BE504" s="51"/>
      <c r="BF504" s="51"/>
      <c r="BG504" s="51"/>
      <c r="BH504" s="51"/>
      <c r="BI504" s="51"/>
      <c r="BJ504" s="51"/>
      <c r="BK504" s="51"/>
      <c r="BL504" s="51"/>
      <c r="BM504" s="51"/>
      <c r="BN504" s="51"/>
      <c r="BO504" s="51"/>
      <c r="BP504" s="51"/>
      <c r="BQ504" s="51"/>
      <c r="BR504" s="51"/>
      <c r="BS504" s="51"/>
      <c r="BT504" s="51"/>
      <c r="BU504" s="51"/>
      <c r="BV504" s="51"/>
      <c r="BW504" s="51"/>
      <c r="BX504" s="51"/>
      <c r="BY504" s="51"/>
      <c r="BZ504" s="51"/>
      <c r="CA504" s="51"/>
      <c r="CB504" s="51"/>
      <c r="CC504" s="51"/>
      <c r="CD504" s="51"/>
      <c r="CE504" s="51"/>
      <c r="CF504" s="51"/>
      <c r="CG504" s="51"/>
    </row>
    <row r="505" ht="30.0"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c r="BA505" s="51"/>
      <c r="BB505" s="51"/>
      <c r="BC505" s="51"/>
      <c r="BD505" s="51"/>
      <c r="BE505" s="51"/>
      <c r="BF505" s="51"/>
      <c r="BG505" s="51"/>
      <c r="BH505" s="51"/>
      <c r="BI505" s="51"/>
      <c r="BJ505" s="51"/>
      <c r="BK505" s="51"/>
      <c r="BL505" s="51"/>
      <c r="BM505" s="51"/>
      <c r="BN505" s="51"/>
      <c r="BO505" s="51"/>
      <c r="BP505" s="51"/>
      <c r="BQ505" s="51"/>
      <c r="BR505" s="51"/>
      <c r="BS505" s="51"/>
      <c r="BT505" s="51"/>
      <c r="BU505" s="51"/>
      <c r="BV505" s="51"/>
      <c r="BW505" s="51"/>
      <c r="BX505" s="51"/>
      <c r="BY505" s="51"/>
      <c r="BZ505" s="51"/>
      <c r="CA505" s="51"/>
      <c r="CB505" s="51"/>
      <c r="CC505" s="51"/>
      <c r="CD505" s="51"/>
      <c r="CE505" s="51"/>
      <c r="CF505" s="51"/>
      <c r="CG505" s="51"/>
    </row>
    <row r="506" ht="30.0"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c r="BA506" s="51"/>
      <c r="BB506" s="51"/>
      <c r="BC506" s="51"/>
      <c r="BD506" s="51"/>
      <c r="BE506" s="51"/>
      <c r="BF506" s="51"/>
      <c r="BG506" s="51"/>
      <c r="BH506" s="51"/>
      <c r="BI506" s="51"/>
      <c r="BJ506" s="51"/>
      <c r="BK506" s="51"/>
      <c r="BL506" s="51"/>
      <c r="BM506" s="51"/>
      <c r="BN506" s="51"/>
      <c r="BO506" s="51"/>
      <c r="BP506" s="51"/>
      <c r="BQ506" s="51"/>
      <c r="BR506" s="51"/>
      <c r="BS506" s="51"/>
      <c r="BT506" s="51"/>
      <c r="BU506" s="51"/>
      <c r="BV506" s="51"/>
      <c r="BW506" s="51"/>
      <c r="BX506" s="51"/>
      <c r="BY506" s="51"/>
      <c r="BZ506" s="51"/>
      <c r="CA506" s="51"/>
      <c r="CB506" s="51"/>
      <c r="CC506" s="51"/>
      <c r="CD506" s="51"/>
      <c r="CE506" s="51"/>
      <c r="CF506" s="51"/>
      <c r="CG506" s="51"/>
    </row>
    <row r="507" ht="30.0"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c r="BA507" s="51"/>
      <c r="BB507" s="51"/>
      <c r="BC507" s="51"/>
      <c r="BD507" s="51"/>
      <c r="BE507" s="51"/>
      <c r="BF507" s="51"/>
      <c r="BG507" s="51"/>
      <c r="BH507" s="51"/>
      <c r="BI507" s="51"/>
      <c r="BJ507" s="51"/>
      <c r="BK507" s="51"/>
      <c r="BL507" s="51"/>
      <c r="BM507" s="51"/>
      <c r="BN507" s="51"/>
      <c r="BO507" s="51"/>
      <c r="BP507" s="51"/>
      <c r="BQ507" s="51"/>
      <c r="BR507" s="51"/>
      <c r="BS507" s="51"/>
      <c r="BT507" s="51"/>
      <c r="BU507" s="51"/>
      <c r="BV507" s="51"/>
      <c r="BW507" s="51"/>
      <c r="BX507" s="51"/>
      <c r="BY507" s="51"/>
      <c r="BZ507" s="51"/>
      <c r="CA507" s="51"/>
      <c r="CB507" s="51"/>
      <c r="CC507" s="51"/>
      <c r="CD507" s="51"/>
      <c r="CE507" s="51"/>
      <c r="CF507" s="51"/>
      <c r="CG507" s="51"/>
    </row>
    <row r="508" ht="30.0"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c r="BA508" s="51"/>
      <c r="BB508" s="51"/>
      <c r="BC508" s="51"/>
      <c r="BD508" s="51"/>
      <c r="BE508" s="51"/>
      <c r="BF508" s="51"/>
      <c r="BG508" s="51"/>
      <c r="BH508" s="51"/>
      <c r="BI508" s="51"/>
      <c r="BJ508" s="51"/>
      <c r="BK508" s="51"/>
      <c r="BL508" s="51"/>
      <c r="BM508" s="51"/>
      <c r="BN508" s="51"/>
      <c r="BO508" s="51"/>
      <c r="BP508" s="51"/>
      <c r="BQ508" s="51"/>
      <c r="BR508" s="51"/>
      <c r="BS508" s="51"/>
      <c r="BT508" s="51"/>
      <c r="BU508" s="51"/>
      <c r="BV508" s="51"/>
      <c r="BW508" s="51"/>
      <c r="BX508" s="51"/>
      <c r="BY508" s="51"/>
      <c r="BZ508" s="51"/>
      <c r="CA508" s="51"/>
      <c r="CB508" s="51"/>
      <c r="CC508" s="51"/>
      <c r="CD508" s="51"/>
      <c r="CE508" s="51"/>
      <c r="CF508" s="51"/>
      <c r="CG508" s="51"/>
    </row>
    <row r="509" ht="30.0"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c r="BA509" s="51"/>
      <c r="BB509" s="51"/>
      <c r="BC509" s="51"/>
      <c r="BD509" s="51"/>
      <c r="BE509" s="51"/>
      <c r="BF509" s="51"/>
      <c r="BG509" s="51"/>
      <c r="BH509" s="51"/>
      <c r="BI509" s="51"/>
      <c r="BJ509" s="51"/>
      <c r="BK509" s="51"/>
      <c r="BL509" s="51"/>
      <c r="BM509" s="51"/>
      <c r="BN509" s="51"/>
      <c r="BO509" s="51"/>
      <c r="BP509" s="51"/>
      <c r="BQ509" s="51"/>
      <c r="BR509" s="51"/>
      <c r="BS509" s="51"/>
      <c r="BT509" s="51"/>
      <c r="BU509" s="51"/>
      <c r="BV509" s="51"/>
      <c r="BW509" s="51"/>
      <c r="BX509" s="51"/>
      <c r="BY509" s="51"/>
      <c r="BZ509" s="51"/>
      <c r="CA509" s="51"/>
      <c r="CB509" s="51"/>
      <c r="CC509" s="51"/>
      <c r="CD509" s="51"/>
      <c r="CE509" s="51"/>
      <c r="CF509" s="51"/>
      <c r="CG509" s="51"/>
    </row>
    <row r="510" ht="30.0"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c r="BA510" s="51"/>
      <c r="BB510" s="51"/>
      <c r="BC510" s="51"/>
      <c r="BD510" s="51"/>
      <c r="BE510" s="51"/>
      <c r="BF510" s="51"/>
      <c r="BG510" s="51"/>
      <c r="BH510" s="51"/>
      <c r="BI510" s="51"/>
      <c r="BJ510" s="51"/>
      <c r="BK510" s="51"/>
      <c r="BL510" s="51"/>
      <c r="BM510" s="51"/>
      <c r="BN510" s="51"/>
      <c r="BO510" s="51"/>
      <c r="BP510" s="51"/>
      <c r="BQ510" s="51"/>
      <c r="BR510" s="51"/>
      <c r="BS510" s="51"/>
      <c r="BT510" s="51"/>
      <c r="BU510" s="51"/>
      <c r="BV510" s="51"/>
      <c r="BW510" s="51"/>
      <c r="BX510" s="51"/>
      <c r="BY510" s="51"/>
      <c r="BZ510" s="51"/>
      <c r="CA510" s="51"/>
      <c r="CB510" s="51"/>
      <c r="CC510" s="51"/>
      <c r="CD510" s="51"/>
      <c r="CE510" s="51"/>
      <c r="CF510" s="51"/>
      <c r="CG510" s="51"/>
    </row>
    <row r="511" ht="30.0"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c r="BA511" s="51"/>
      <c r="BB511" s="51"/>
      <c r="BC511" s="51"/>
      <c r="BD511" s="51"/>
      <c r="BE511" s="51"/>
      <c r="BF511" s="51"/>
      <c r="BG511" s="51"/>
      <c r="BH511" s="51"/>
      <c r="BI511" s="51"/>
      <c r="BJ511" s="51"/>
      <c r="BK511" s="51"/>
      <c r="BL511" s="51"/>
      <c r="BM511" s="51"/>
      <c r="BN511" s="51"/>
      <c r="BO511" s="51"/>
      <c r="BP511" s="51"/>
      <c r="BQ511" s="51"/>
      <c r="BR511" s="51"/>
      <c r="BS511" s="51"/>
      <c r="BT511" s="51"/>
      <c r="BU511" s="51"/>
      <c r="BV511" s="51"/>
      <c r="BW511" s="51"/>
      <c r="BX511" s="51"/>
      <c r="BY511" s="51"/>
      <c r="BZ511" s="51"/>
      <c r="CA511" s="51"/>
      <c r="CB511" s="51"/>
      <c r="CC511" s="51"/>
      <c r="CD511" s="51"/>
      <c r="CE511" s="51"/>
      <c r="CF511" s="51"/>
      <c r="CG511" s="51"/>
    </row>
    <row r="512" ht="30.0"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c r="BA512" s="51"/>
      <c r="BB512" s="51"/>
      <c r="BC512" s="51"/>
      <c r="BD512" s="51"/>
      <c r="BE512" s="51"/>
      <c r="BF512" s="51"/>
      <c r="BG512" s="51"/>
      <c r="BH512" s="51"/>
      <c r="BI512" s="51"/>
      <c r="BJ512" s="51"/>
      <c r="BK512" s="51"/>
      <c r="BL512" s="51"/>
      <c r="BM512" s="51"/>
      <c r="BN512" s="51"/>
      <c r="BO512" s="51"/>
      <c r="BP512" s="51"/>
      <c r="BQ512" s="51"/>
      <c r="BR512" s="51"/>
      <c r="BS512" s="51"/>
      <c r="BT512" s="51"/>
      <c r="BU512" s="51"/>
      <c r="BV512" s="51"/>
      <c r="BW512" s="51"/>
      <c r="BX512" s="51"/>
      <c r="BY512" s="51"/>
      <c r="BZ512" s="51"/>
      <c r="CA512" s="51"/>
      <c r="CB512" s="51"/>
      <c r="CC512" s="51"/>
      <c r="CD512" s="51"/>
      <c r="CE512" s="51"/>
      <c r="CF512" s="51"/>
      <c r="CG512" s="51"/>
    </row>
    <row r="513" ht="30.0"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c r="BA513" s="51"/>
      <c r="BB513" s="51"/>
      <c r="BC513" s="51"/>
      <c r="BD513" s="51"/>
      <c r="BE513" s="51"/>
      <c r="BF513" s="51"/>
      <c r="BG513" s="51"/>
      <c r="BH513" s="51"/>
      <c r="BI513" s="51"/>
      <c r="BJ513" s="51"/>
      <c r="BK513" s="51"/>
      <c r="BL513" s="51"/>
      <c r="BM513" s="51"/>
      <c r="BN513" s="51"/>
      <c r="BO513" s="51"/>
      <c r="BP513" s="51"/>
      <c r="BQ513" s="51"/>
      <c r="BR513" s="51"/>
      <c r="BS513" s="51"/>
      <c r="BT513" s="51"/>
      <c r="BU513" s="51"/>
      <c r="BV513" s="51"/>
      <c r="BW513" s="51"/>
      <c r="BX513" s="51"/>
      <c r="BY513" s="51"/>
      <c r="BZ513" s="51"/>
      <c r="CA513" s="51"/>
      <c r="CB513" s="51"/>
      <c r="CC513" s="51"/>
      <c r="CD513" s="51"/>
      <c r="CE513" s="51"/>
      <c r="CF513" s="51"/>
      <c r="CG513" s="51"/>
    </row>
    <row r="514" ht="30.0"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c r="BA514" s="51"/>
      <c r="BB514" s="51"/>
      <c r="BC514" s="51"/>
      <c r="BD514" s="51"/>
      <c r="BE514" s="51"/>
      <c r="BF514" s="51"/>
      <c r="BG514" s="51"/>
      <c r="BH514" s="51"/>
      <c r="BI514" s="51"/>
      <c r="BJ514" s="51"/>
      <c r="BK514" s="51"/>
      <c r="BL514" s="51"/>
      <c r="BM514" s="51"/>
      <c r="BN514" s="51"/>
      <c r="BO514" s="51"/>
      <c r="BP514" s="51"/>
      <c r="BQ514" s="51"/>
      <c r="BR514" s="51"/>
      <c r="BS514" s="51"/>
      <c r="BT514" s="51"/>
      <c r="BU514" s="51"/>
      <c r="BV514" s="51"/>
      <c r="BW514" s="51"/>
      <c r="BX514" s="51"/>
      <c r="BY514" s="51"/>
      <c r="BZ514" s="51"/>
      <c r="CA514" s="51"/>
      <c r="CB514" s="51"/>
      <c r="CC514" s="51"/>
      <c r="CD514" s="51"/>
      <c r="CE514" s="51"/>
      <c r="CF514" s="51"/>
      <c r="CG514" s="51"/>
    </row>
    <row r="515" ht="30.0"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c r="BA515" s="51"/>
      <c r="BB515" s="51"/>
      <c r="BC515" s="51"/>
      <c r="BD515" s="51"/>
      <c r="BE515" s="51"/>
      <c r="BF515" s="51"/>
      <c r="BG515" s="51"/>
      <c r="BH515" s="51"/>
      <c r="BI515" s="51"/>
      <c r="BJ515" s="51"/>
      <c r="BK515" s="51"/>
      <c r="BL515" s="51"/>
      <c r="BM515" s="51"/>
      <c r="BN515" s="51"/>
      <c r="BO515" s="51"/>
      <c r="BP515" s="51"/>
      <c r="BQ515" s="51"/>
      <c r="BR515" s="51"/>
      <c r="BS515" s="51"/>
      <c r="BT515" s="51"/>
      <c r="BU515" s="51"/>
      <c r="BV515" s="51"/>
      <c r="BW515" s="51"/>
      <c r="BX515" s="51"/>
      <c r="BY515" s="51"/>
      <c r="BZ515" s="51"/>
      <c r="CA515" s="51"/>
      <c r="CB515" s="51"/>
      <c r="CC515" s="51"/>
      <c r="CD515" s="51"/>
      <c r="CE515" s="51"/>
      <c r="CF515" s="51"/>
      <c r="CG515" s="51"/>
    </row>
    <row r="516" ht="30.0"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c r="BA516" s="51"/>
      <c r="BB516" s="51"/>
      <c r="BC516" s="51"/>
      <c r="BD516" s="51"/>
      <c r="BE516" s="51"/>
      <c r="BF516" s="51"/>
      <c r="BG516" s="51"/>
      <c r="BH516" s="51"/>
      <c r="BI516" s="51"/>
      <c r="BJ516" s="51"/>
      <c r="BK516" s="51"/>
      <c r="BL516" s="51"/>
      <c r="BM516" s="51"/>
      <c r="BN516" s="51"/>
      <c r="BO516" s="51"/>
      <c r="BP516" s="51"/>
      <c r="BQ516" s="51"/>
      <c r="BR516" s="51"/>
      <c r="BS516" s="51"/>
      <c r="BT516" s="51"/>
      <c r="BU516" s="51"/>
      <c r="BV516" s="51"/>
      <c r="BW516" s="51"/>
      <c r="BX516" s="51"/>
      <c r="BY516" s="51"/>
      <c r="BZ516" s="51"/>
      <c r="CA516" s="51"/>
      <c r="CB516" s="51"/>
      <c r="CC516" s="51"/>
      <c r="CD516" s="51"/>
      <c r="CE516" s="51"/>
      <c r="CF516" s="51"/>
      <c r="CG516" s="51"/>
    </row>
    <row r="517" ht="30.0"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c r="BA517" s="51"/>
      <c r="BB517" s="51"/>
      <c r="BC517" s="51"/>
      <c r="BD517" s="51"/>
      <c r="BE517" s="51"/>
      <c r="BF517" s="51"/>
      <c r="BG517" s="51"/>
      <c r="BH517" s="51"/>
      <c r="BI517" s="51"/>
      <c r="BJ517" s="51"/>
      <c r="BK517" s="51"/>
      <c r="BL517" s="51"/>
      <c r="BM517" s="51"/>
      <c r="BN517" s="51"/>
      <c r="BO517" s="51"/>
      <c r="BP517" s="51"/>
      <c r="BQ517" s="51"/>
      <c r="BR517" s="51"/>
      <c r="BS517" s="51"/>
      <c r="BT517" s="51"/>
      <c r="BU517" s="51"/>
      <c r="BV517" s="51"/>
      <c r="BW517" s="51"/>
      <c r="BX517" s="51"/>
      <c r="BY517" s="51"/>
      <c r="BZ517" s="51"/>
      <c r="CA517" s="51"/>
      <c r="CB517" s="51"/>
      <c r="CC517" s="51"/>
      <c r="CD517" s="51"/>
      <c r="CE517" s="51"/>
      <c r="CF517" s="51"/>
      <c r="CG517" s="51"/>
    </row>
    <row r="518" ht="30.0"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c r="BA518" s="51"/>
      <c r="BB518" s="51"/>
      <c r="BC518" s="51"/>
      <c r="BD518" s="51"/>
      <c r="BE518" s="51"/>
      <c r="BF518" s="51"/>
      <c r="BG518" s="51"/>
      <c r="BH518" s="51"/>
      <c r="BI518" s="51"/>
      <c r="BJ518" s="51"/>
      <c r="BK518" s="51"/>
      <c r="BL518" s="51"/>
      <c r="BM518" s="51"/>
      <c r="BN518" s="51"/>
      <c r="BO518" s="51"/>
      <c r="BP518" s="51"/>
      <c r="BQ518" s="51"/>
      <c r="BR518" s="51"/>
      <c r="BS518" s="51"/>
      <c r="BT518" s="51"/>
      <c r="BU518" s="51"/>
      <c r="BV518" s="51"/>
      <c r="BW518" s="51"/>
      <c r="BX518" s="51"/>
      <c r="BY518" s="51"/>
      <c r="BZ518" s="51"/>
      <c r="CA518" s="51"/>
      <c r="CB518" s="51"/>
      <c r="CC518" s="51"/>
      <c r="CD518" s="51"/>
      <c r="CE518" s="51"/>
      <c r="CF518" s="51"/>
      <c r="CG518" s="51"/>
    </row>
    <row r="519" ht="30.0"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c r="BA519" s="51"/>
      <c r="BB519" s="51"/>
      <c r="BC519" s="51"/>
      <c r="BD519" s="51"/>
      <c r="BE519" s="51"/>
      <c r="BF519" s="51"/>
      <c r="BG519" s="51"/>
      <c r="BH519" s="51"/>
      <c r="BI519" s="51"/>
      <c r="BJ519" s="51"/>
      <c r="BK519" s="51"/>
      <c r="BL519" s="51"/>
      <c r="BM519" s="51"/>
      <c r="BN519" s="51"/>
      <c r="BO519" s="51"/>
      <c r="BP519" s="51"/>
      <c r="BQ519" s="51"/>
      <c r="BR519" s="51"/>
      <c r="BS519" s="51"/>
      <c r="BT519" s="51"/>
      <c r="BU519" s="51"/>
      <c r="BV519" s="51"/>
      <c r="BW519" s="51"/>
      <c r="BX519" s="51"/>
      <c r="BY519" s="51"/>
      <c r="BZ519" s="51"/>
      <c r="CA519" s="51"/>
      <c r="CB519" s="51"/>
      <c r="CC519" s="51"/>
      <c r="CD519" s="51"/>
      <c r="CE519" s="51"/>
      <c r="CF519" s="51"/>
      <c r="CG519" s="51"/>
    </row>
    <row r="520" ht="30.0"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c r="BA520" s="51"/>
      <c r="BB520" s="51"/>
      <c r="BC520" s="51"/>
      <c r="BD520" s="51"/>
      <c r="BE520" s="51"/>
      <c r="BF520" s="51"/>
      <c r="BG520" s="51"/>
      <c r="BH520" s="51"/>
      <c r="BI520" s="51"/>
      <c r="BJ520" s="51"/>
      <c r="BK520" s="51"/>
      <c r="BL520" s="51"/>
      <c r="BM520" s="51"/>
      <c r="BN520" s="51"/>
      <c r="BO520" s="51"/>
      <c r="BP520" s="51"/>
      <c r="BQ520" s="51"/>
      <c r="BR520" s="51"/>
      <c r="BS520" s="51"/>
      <c r="BT520" s="51"/>
      <c r="BU520" s="51"/>
      <c r="BV520" s="51"/>
      <c r="BW520" s="51"/>
      <c r="BX520" s="51"/>
      <c r="BY520" s="51"/>
      <c r="BZ520" s="51"/>
      <c r="CA520" s="51"/>
      <c r="CB520" s="51"/>
      <c r="CC520" s="51"/>
      <c r="CD520" s="51"/>
      <c r="CE520" s="51"/>
      <c r="CF520" s="51"/>
      <c r="CG520" s="51"/>
    </row>
    <row r="521" ht="30.0"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c r="BA521" s="51"/>
      <c r="BB521" s="51"/>
      <c r="BC521" s="51"/>
      <c r="BD521" s="51"/>
      <c r="BE521" s="51"/>
      <c r="BF521" s="51"/>
      <c r="BG521" s="51"/>
      <c r="BH521" s="51"/>
      <c r="BI521" s="51"/>
      <c r="BJ521" s="51"/>
      <c r="BK521" s="51"/>
      <c r="BL521" s="51"/>
      <c r="BM521" s="51"/>
      <c r="BN521" s="51"/>
      <c r="BO521" s="51"/>
      <c r="BP521" s="51"/>
      <c r="BQ521" s="51"/>
      <c r="BR521" s="51"/>
      <c r="BS521" s="51"/>
      <c r="BT521" s="51"/>
      <c r="BU521" s="51"/>
      <c r="BV521" s="51"/>
      <c r="BW521" s="51"/>
      <c r="BX521" s="51"/>
      <c r="BY521" s="51"/>
      <c r="BZ521" s="51"/>
      <c r="CA521" s="51"/>
      <c r="CB521" s="51"/>
      <c r="CC521" s="51"/>
      <c r="CD521" s="51"/>
      <c r="CE521" s="51"/>
      <c r="CF521" s="51"/>
      <c r="CG521" s="51"/>
    </row>
    <row r="522" ht="30.0"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c r="BA522" s="51"/>
      <c r="BB522" s="51"/>
      <c r="BC522" s="51"/>
      <c r="BD522" s="51"/>
      <c r="BE522" s="51"/>
      <c r="BF522" s="51"/>
      <c r="BG522" s="51"/>
      <c r="BH522" s="51"/>
      <c r="BI522" s="51"/>
      <c r="BJ522" s="51"/>
      <c r="BK522" s="51"/>
      <c r="BL522" s="51"/>
      <c r="BM522" s="51"/>
      <c r="BN522" s="51"/>
      <c r="BO522" s="51"/>
      <c r="BP522" s="51"/>
      <c r="BQ522" s="51"/>
      <c r="BR522" s="51"/>
      <c r="BS522" s="51"/>
      <c r="BT522" s="51"/>
      <c r="BU522" s="51"/>
      <c r="BV522" s="51"/>
      <c r="BW522" s="51"/>
      <c r="BX522" s="51"/>
      <c r="BY522" s="51"/>
      <c r="BZ522" s="51"/>
      <c r="CA522" s="51"/>
      <c r="CB522" s="51"/>
      <c r="CC522" s="51"/>
      <c r="CD522" s="51"/>
      <c r="CE522" s="51"/>
      <c r="CF522" s="51"/>
      <c r="CG522" s="51"/>
    </row>
    <row r="523" ht="30.0"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c r="BA523" s="51"/>
      <c r="BB523" s="51"/>
      <c r="BC523" s="51"/>
      <c r="BD523" s="51"/>
      <c r="BE523" s="51"/>
      <c r="BF523" s="51"/>
      <c r="BG523" s="51"/>
      <c r="BH523" s="51"/>
      <c r="BI523" s="51"/>
      <c r="BJ523" s="51"/>
      <c r="BK523" s="51"/>
      <c r="BL523" s="51"/>
      <c r="BM523" s="51"/>
      <c r="BN523" s="51"/>
      <c r="BO523" s="51"/>
      <c r="BP523" s="51"/>
      <c r="BQ523" s="51"/>
      <c r="BR523" s="51"/>
      <c r="BS523" s="51"/>
      <c r="BT523" s="51"/>
      <c r="BU523" s="51"/>
      <c r="BV523" s="51"/>
      <c r="BW523" s="51"/>
      <c r="BX523" s="51"/>
      <c r="BY523" s="51"/>
      <c r="BZ523" s="51"/>
      <c r="CA523" s="51"/>
      <c r="CB523" s="51"/>
      <c r="CC523" s="51"/>
      <c r="CD523" s="51"/>
      <c r="CE523" s="51"/>
      <c r="CF523" s="51"/>
      <c r="CG523" s="51"/>
    </row>
    <row r="524" ht="30.0"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c r="BA524" s="51"/>
      <c r="BB524" s="51"/>
      <c r="BC524" s="51"/>
      <c r="BD524" s="51"/>
      <c r="BE524" s="51"/>
      <c r="BF524" s="51"/>
      <c r="BG524" s="51"/>
      <c r="BH524" s="51"/>
      <c r="BI524" s="51"/>
      <c r="BJ524" s="51"/>
      <c r="BK524" s="51"/>
      <c r="BL524" s="51"/>
      <c r="BM524" s="51"/>
      <c r="BN524" s="51"/>
      <c r="BO524" s="51"/>
      <c r="BP524" s="51"/>
      <c r="BQ524" s="51"/>
      <c r="BR524" s="51"/>
      <c r="BS524" s="51"/>
      <c r="BT524" s="51"/>
      <c r="BU524" s="51"/>
      <c r="BV524" s="51"/>
      <c r="BW524" s="51"/>
      <c r="BX524" s="51"/>
      <c r="BY524" s="51"/>
      <c r="BZ524" s="51"/>
      <c r="CA524" s="51"/>
      <c r="CB524" s="51"/>
      <c r="CC524" s="51"/>
      <c r="CD524" s="51"/>
      <c r="CE524" s="51"/>
      <c r="CF524" s="51"/>
      <c r="CG524" s="51"/>
    </row>
    <row r="525" ht="30.0"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c r="BA525" s="51"/>
      <c r="BB525" s="51"/>
      <c r="BC525" s="51"/>
      <c r="BD525" s="51"/>
      <c r="BE525" s="51"/>
      <c r="BF525" s="51"/>
      <c r="BG525" s="51"/>
      <c r="BH525" s="51"/>
      <c r="BI525" s="51"/>
      <c r="BJ525" s="51"/>
      <c r="BK525" s="51"/>
      <c r="BL525" s="51"/>
      <c r="BM525" s="51"/>
      <c r="BN525" s="51"/>
      <c r="BO525" s="51"/>
      <c r="BP525" s="51"/>
      <c r="BQ525" s="51"/>
      <c r="BR525" s="51"/>
      <c r="BS525" s="51"/>
      <c r="BT525" s="51"/>
      <c r="BU525" s="51"/>
      <c r="BV525" s="51"/>
      <c r="BW525" s="51"/>
      <c r="BX525" s="51"/>
      <c r="BY525" s="51"/>
      <c r="BZ525" s="51"/>
      <c r="CA525" s="51"/>
      <c r="CB525" s="51"/>
      <c r="CC525" s="51"/>
      <c r="CD525" s="51"/>
      <c r="CE525" s="51"/>
      <c r="CF525" s="51"/>
      <c r="CG525" s="51"/>
    </row>
    <row r="526" ht="30.0"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c r="BA526" s="51"/>
      <c r="BB526" s="51"/>
      <c r="BC526" s="51"/>
      <c r="BD526" s="51"/>
      <c r="BE526" s="51"/>
      <c r="BF526" s="51"/>
      <c r="BG526" s="51"/>
      <c r="BH526" s="51"/>
      <c r="BI526" s="51"/>
      <c r="BJ526" s="51"/>
      <c r="BK526" s="51"/>
      <c r="BL526" s="51"/>
      <c r="BM526" s="51"/>
      <c r="BN526" s="51"/>
      <c r="BO526" s="51"/>
      <c r="BP526" s="51"/>
      <c r="BQ526" s="51"/>
      <c r="BR526" s="51"/>
      <c r="BS526" s="51"/>
      <c r="BT526" s="51"/>
      <c r="BU526" s="51"/>
      <c r="BV526" s="51"/>
      <c r="BW526" s="51"/>
      <c r="BX526" s="51"/>
      <c r="BY526" s="51"/>
      <c r="BZ526" s="51"/>
      <c r="CA526" s="51"/>
      <c r="CB526" s="51"/>
      <c r="CC526" s="51"/>
      <c r="CD526" s="51"/>
      <c r="CE526" s="51"/>
      <c r="CF526" s="51"/>
      <c r="CG526" s="51"/>
    </row>
    <row r="527" ht="30.0"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c r="BA527" s="51"/>
      <c r="BB527" s="51"/>
      <c r="BC527" s="51"/>
      <c r="BD527" s="51"/>
      <c r="BE527" s="51"/>
      <c r="BF527" s="51"/>
      <c r="BG527" s="51"/>
      <c r="BH527" s="51"/>
      <c r="BI527" s="51"/>
      <c r="BJ527" s="51"/>
      <c r="BK527" s="51"/>
      <c r="BL527" s="51"/>
      <c r="BM527" s="51"/>
      <c r="BN527" s="51"/>
      <c r="BO527" s="51"/>
      <c r="BP527" s="51"/>
      <c r="BQ527" s="51"/>
      <c r="BR527" s="51"/>
      <c r="BS527" s="51"/>
      <c r="BT527" s="51"/>
      <c r="BU527" s="51"/>
      <c r="BV527" s="51"/>
      <c r="BW527" s="51"/>
      <c r="BX527" s="51"/>
      <c r="BY527" s="51"/>
      <c r="BZ527" s="51"/>
      <c r="CA527" s="51"/>
      <c r="CB527" s="51"/>
      <c r="CC527" s="51"/>
      <c r="CD527" s="51"/>
      <c r="CE527" s="51"/>
      <c r="CF527" s="51"/>
      <c r="CG527" s="51"/>
    </row>
    <row r="528" ht="30.0"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c r="BA528" s="51"/>
      <c r="BB528" s="51"/>
      <c r="BC528" s="51"/>
      <c r="BD528" s="51"/>
      <c r="BE528" s="51"/>
      <c r="BF528" s="51"/>
      <c r="BG528" s="51"/>
      <c r="BH528" s="51"/>
      <c r="BI528" s="51"/>
      <c r="BJ528" s="51"/>
      <c r="BK528" s="51"/>
      <c r="BL528" s="51"/>
      <c r="BM528" s="51"/>
      <c r="BN528" s="51"/>
      <c r="BO528" s="51"/>
      <c r="BP528" s="51"/>
      <c r="BQ528" s="51"/>
      <c r="BR528" s="51"/>
      <c r="BS528" s="51"/>
      <c r="BT528" s="51"/>
      <c r="BU528" s="51"/>
      <c r="BV528" s="51"/>
      <c r="BW528" s="51"/>
      <c r="BX528" s="51"/>
      <c r="BY528" s="51"/>
      <c r="BZ528" s="51"/>
      <c r="CA528" s="51"/>
      <c r="CB528" s="51"/>
      <c r="CC528" s="51"/>
      <c r="CD528" s="51"/>
      <c r="CE528" s="51"/>
      <c r="CF528" s="51"/>
      <c r="CG528" s="51"/>
    </row>
    <row r="529" ht="30.0"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c r="BA529" s="51"/>
      <c r="BB529" s="51"/>
      <c r="BC529" s="51"/>
      <c r="BD529" s="51"/>
      <c r="BE529" s="51"/>
      <c r="BF529" s="51"/>
      <c r="BG529" s="51"/>
      <c r="BH529" s="51"/>
      <c r="BI529" s="51"/>
      <c r="BJ529" s="51"/>
      <c r="BK529" s="51"/>
      <c r="BL529" s="51"/>
      <c r="BM529" s="51"/>
      <c r="BN529" s="51"/>
      <c r="BO529" s="51"/>
      <c r="BP529" s="51"/>
      <c r="BQ529" s="51"/>
      <c r="BR529" s="51"/>
      <c r="BS529" s="51"/>
      <c r="BT529" s="51"/>
      <c r="BU529" s="51"/>
      <c r="BV529" s="51"/>
      <c r="BW529" s="51"/>
      <c r="BX529" s="51"/>
      <c r="BY529" s="51"/>
      <c r="BZ529" s="51"/>
      <c r="CA529" s="51"/>
      <c r="CB529" s="51"/>
      <c r="CC529" s="51"/>
      <c r="CD529" s="51"/>
      <c r="CE529" s="51"/>
      <c r="CF529" s="51"/>
      <c r="CG529" s="51"/>
    </row>
    <row r="530" ht="30.0"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c r="BA530" s="51"/>
      <c r="BB530" s="51"/>
      <c r="BC530" s="51"/>
      <c r="BD530" s="51"/>
      <c r="BE530" s="51"/>
      <c r="BF530" s="51"/>
      <c r="BG530" s="51"/>
      <c r="BH530" s="51"/>
      <c r="BI530" s="51"/>
      <c r="BJ530" s="51"/>
      <c r="BK530" s="51"/>
      <c r="BL530" s="51"/>
      <c r="BM530" s="51"/>
      <c r="BN530" s="51"/>
      <c r="BO530" s="51"/>
      <c r="BP530" s="51"/>
      <c r="BQ530" s="51"/>
      <c r="BR530" s="51"/>
      <c r="BS530" s="51"/>
      <c r="BT530" s="51"/>
      <c r="BU530" s="51"/>
      <c r="BV530" s="51"/>
      <c r="BW530" s="51"/>
      <c r="BX530" s="51"/>
      <c r="BY530" s="51"/>
      <c r="BZ530" s="51"/>
      <c r="CA530" s="51"/>
      <c r="CB530" s="51"/>
      <c r="CC530" s="51"/>
      <c r="CD530" s="51"/>
      <c r="CE530" s="51"/>
      <c r="CF530" s="51"/>
      <c r="CG530" s="51"/>
    </row>
    <row r="531" ht="30.0"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c r="BA531" s="51"/>
      <c r="BB531" s="51"/>
      <c r="BC531" s="51"/>
      <c r="BD531" s="51"/>
      <c r="BE531" s="51"/>
      <c r="BF531" s="51"/>
      <c r="BG531" s="51"/>
      <c r="BH531" s="51"/>
      <c r="BI531" s="51"/>
      <c r="BJ531" s="51"/>
      <c r="BK531" s="51"/>
      <c r="BL531" s="51"/>
      <c r="BM531" s="51"/>
      <c r="BN531" s="51"/>
      <c r="BO531" s="51"/>
      <c r="BP531" s="51"/>
      <c r="BQ531" s="51"/>
      <c r="BR531" s="51"/>
      <c r="BS531" s="51"/>
      <c r="BT531" s="51"/>
      <c r="BU531" s="51"/>
      <c r="BV531" s="51"/>
      <c r="BW531" s="51"/>
      <c r="BX531" s="51"/>
      <c r="BY531" s="51"/>
      <c r="BZ531" s="51"/>
      <c r="CA531" s="51"/>
      <c r="CB531" s="51"/>
      <c r="CC531" s="51"/>
      <c r="CD531" s="51"/>
      <c r="CE531" s="51"/>
      <c r="CF531" s="51"/>
      <c r="CG531" s="51"/>
    </row>
    <row r="532" ht="30.0"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c r="BA532" s="51"/>
      <c r="BB532" s="51"/>
      <c r="BC532" s="51"/>
      <c r="BD532" s="51"/>
      <c r="BE532" s="51"/>
      <c r="BF532" s="51"/>
      <c r="BG532" s="51"/>
      <c r="BH532" s="51"/>
      <c r="BI532" s="51"/>
      <c r="BJ532" s="51"/>
      <c r="BK532" s="51"/>
      <c r="BL532" s="51"/>
      <c r="BM532" s="51"/>
      <c r="BN532" s="51"/>
      <c r="BO532" s="51"/>
      <c r="BP532" s="51"/>
      <c r="BQ532" s="51"/>
      <c r="BR532" s="51"/>
      <c r="BS532" s="51"/>
      <c r="BT532" s="51"/>
      <c r="BU532" s="51"/>
      <c r="BV532" s="51"/>
      <c r="BW532" s="51"/>
      <c r="BX532" s="51"/>
      <c r="BY532" s="51"/>
      <c r="BZ532" s="51"/>
      <c r="CA532" s="51"/>
      <c r="CB532" s="51"/>
      <c r="CC532" s="51"/>
      <c r="CD532" s="51"/>
      <c r="CE532" s="51"/>
      <c r="CF532" s="51"/>
      <c r="CG532" s="51"/>
    </row>
    <row r="533" ht="30.0"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c r="BA533" s="51"/>
      <c r="BB533" s="51"/>
      <c r="BC533" s="51"/>
      <c r="BD533" s="51"/>
      <c r="BE533" s="51"/>
      <c r="BF533" s="51"/>
      <c r="BG533" s="51"/>
      <c r="BH533" s="51"/>
      <c r="BI533" s="51"/>
      <c r="BJ533" s="51"/>
      <c r="BK533" s="51"/>
      <c r="BL533" s="51"/>
      <c r="BM533" s="51"/>
      <c r="BN533" s="51"/>
      <c r="BO533" s="51"/>
      <c r="BP533" s="51"/>
      <c r="BQ533" s="51"/>
      <c r="BR533" s="51"/>
      <c r="BS533" s="51"/>
      <c r="BT533" s="51"/>
      <c r="BU533" s="51"/>
      <c r="BV533" s="51"/>
      <c r="BW533" s="51"/>
      <c r="BX533" s="51"/>
      <c r="BY533" s="51"/>
      <c r="BZ533" s="51"/>
      <c r="CA533" s="51"/>
      <c r="CB533" s="51"/>
      <c r="CC533" s="51"/>
      <c r="CD533" s="51"/>
      <c r="CE533" s="51"/>
      <c r="CF533" s="51"/>
      <c r="CG533" s="51"/>
    </row>
    <row r="534" ht="30.0"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c r="BA534" s="51"/>
      <c r="BB534" s="51"/>
      <c r="BC534" s="51"/>
      <c r="BD534" s="51"/>
      <c r="BE534" s="51"/>
      <c r="BF534" s="51"/>
      <c r="BG534" s="51"/>
      <c r="BH534" s="51"/>
      <c r="BI534" s="51"/>
      <c r="BJ534" s="51"/>
      <c r="BK534" s="51"/>
      <c r="BL534" s="51"/>
      <c r="BM534" s="51"/>
      <c r="BN534" s="51"/>
      <c r="BO534" s="51"/>
      <c r="BP534" s="51"/>
      <c r="BQ534" s="51"/>
      <c r="BR534" s="51"/>
      <c r="BS534" s="51"/>
      <c r="BT534" s="51"/>
      <c r="BU534" s="51"/>
      <c r="BV534" s="51"/>
      <c r="BW534" s="51"/>
      <c r="BX534" s="51"/>
      <c r="BY534" s="51"/>
      <c r="BZ534" s="51"/>
      <c r="CA534" s="51"/>
      <c r="CB534" s="51"/>
      <c r="CC534" s="51"/>
      <c r="CD534" s="51"/>
      <c r="CE534" s="51"/>
      <c r="CF534" s="51"/>
      <c r="CG534" s="51"/>
    </row>
    <row r="535" ht="30.0"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c r="BA535" s="51"/>
      <c r="BB535" s="51"/>
      <c r="BC535" s="51"/>
      <c r="BD535" s="51"/>
      <c r="BE535" s="51"/>
      <c r="BF535" s="51"/>
      <c r="BG535" s="51"/>
      <c r="BH535" s="51"/>
      <c r="BI535" s="51"/>
      <c r="BJ535" s="51"/>
      <c r="BK535" s="51"/>
      <c r="BL535" s="51"/>
      <c r="BM535" s="51"/>
      <c r="BN535" s="51"/>
      <c r="BO535" s="51"/>
      <c r="BP535" s="51"/>
      <c r="BQ535" s="51"/>
      <c r="BR535" s="51"/>
      <c r="BS535" s="51"/>
      <c r="BT535" s="51"/>
      <c r="BU535" s="51"/>
      <c r="BV535" s="51"/>
      <c r="BW535" s="51"/>
      <c r="BX535" s="51"/>
      <c r="BY535" s="51"/>
      <c r="BZ535" s="51"/>
      <c r="CA535" s="51"/>
      <c r="CB535" s="51"/>
      <c r="CC535" s="51"/>
      <c r="CD535" s="51"/>
      <c r="CE535" s="51"/>
      <c r="CF535" s="51"/>
      <c r="CG535" s="51"/>
    </row>
    <row r="536" ht="30.0"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c r="BA536" s="51"/>
      <c r="BB536" s="51"/>
      <c r="BC536" s="51"/>
      <c r="BD536" s="51"/>
      <c r="BE536" s="51"/>
      <c r="BF536" s="51"/>
      <c r="BG536" s="51"/>
      <c r="BH536" s="51"/>
      <c r="BI536" s="51"/>
      <c r="BJ536" s="51"/>
      <c r="BK536" s="51"/>
      <c r="BL536" s="51"/>
      <c r="BM536" s="51"/>
      <c r="BN536" s="51"/>
      <c r="BO536" s="51"/>
      <c r="BP536" s="51"/>
      <c r="BQ536" s="51"/>
      <c r="BR536" s="51"/>
      <c r="BS536" s="51"/>
      <c r="BT536" s="51"/>
      <c r="BU536" s="51"/>
      <c r="BV536" s="51"/>
      <c r="BW536" s="51"/>
      <c r="BX536" s="51"/>
      <c r="BY536" s="51"/>
      <c r="BZ536" s="51"/>
      <c r="CA536" s="51"/>
      <c r="CB536" s="51"/>
      <c r="CC536" s="51"/>
      <c r="CD536" s="51"/>
      <c r="CE536" s="51"/>
      <c r="CF536" s="51"/>
      <c r="CG536" s="51"/>
    </row>
    <row r="537" ht="30.0"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c r="BA537" s="51"/>
      <c r="BB537" s="51"/>
      <c r="BC537" s="51"/>
      <c r="BD537" s="51"/>
      <c r="BE537" s="51"/>
      <c r="BF537" s="51"/>
      <c r="BG537" s="51"/>
      <c r="BH537" s="51"/>
      <c r="BI537" s="51"/>
      <c r="BJ537" s="51"/>
      <c r="BK537" s="51"/>
      <c r="BL537" s="51"/>
      <c r="BM537" s="51"/>
      <c r="BN537" s="51"/>
      <c r="BO537" s="51"/>
      <c r="BP537" s="51"/>
      <c r="BQ537" s="51"/>
      <c r="BR537" s="51"/>
      <c r="BS537" s="51"/>
      <c r="BT537" s="51"/>
      <c r="BU537" s="51"/>
      <c r="BV537" s="51"/>
      <c r="BW537" s="51"/>
      <c r="BX537" s="51"/>
      <c r="BY537" s="51"/>
      <c r="BZ537" s="51"/>
      <c r="CA537" s="51"/>
      <c r="CB537" s="51"/>
      <c r="CC537" s="51"/>
      <c r="CD537" s="51"/>
      <c r="CE537" s="51"/>
      <c r="CF537" s="51"/>
      <c r="CG537" s="51"/>
    </row>
    <row r="538" ht="30.0"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c r="BA538" s="51"/>
      <c r="BB538" s="51"/>
      <c r="BC538" s="51"/>
      <c r="BD538" s="51"/>
      <c r="BE538" s="51"/>
      <c r="BF538" s="51"/>
      <c r="BG538" s="51"/>
      <c r="BH538" s="51"/>
      <c r="BI538" s="51"/>
      <c r="BJ538" s="51"/>
      <c r="BK538" s="51"/>
      <c r="BL538" s="51"/>
      <c r="BM538" s="51"/>
      <c r="BN538" s="51"/>
      <c r="BO538" s="51"/>
      <c r="BP538" s="51"/>
      <c r="BQ538" s="51"/>
      <c r="BR538" s="51"/>
      <c r="BS538" s="51"/>
      <c r="BT538" s="51"/>
      <c r="BU538" s="51"/>
      <c r="BV538" s="51"/>
      <c r="BW538" s="51"/>
      <c r="BX538" s="51"/>
      <c r="BY538" s="51"/>
      <c r="BZ538" s="51"/>
      <c r="CA538" s="51"/>
      <c r="CB538" s="51"/>
      <c r="CC538" s="51"/>
      <c r="CD538" s="51"/>
      <c r="CE538" s="51"/>
      <c r="CF538" s="51"/>
      <c r="CG538" s="51"/>
    </row>
    <row r="539" ht="30.0"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c r="BA539" s="51"/>
      <c r="BB539" s="51"/>
      <c r="BC539" s="51"/>
      <c r="BD539" s="51"/>
      <c r="BE539" s="51"/>
      <c r="BF539" s="51"/>
      <c r="BG539" s="51"/>
      <c r="BH539" s="51"/>
      <c r="BI539" s="51"/>
      <c r="BJ539" s="51"/>
      <c r="BK539" s="51"/>
      <c r="BL539" s="51"/>
      <c r="BM539" s="51"/>
      <c r="BN539" s="51"/>
      <c r="BO539" s="51"/>
      <c r="BP539" s="51"/>
      <c r="BQ539" s="51"/>
      <c r="BR539" s="51"/>
      <c r="BS539" s="51"/>
      <c r="BT539" s="51"/>
      <c r="BU539" s="51"/>
      <c r="BV539" s="51"/>
      <c r="BW539" s="51"/>
      <c r="BX539" s="51"/>
      <c r="BY539" s="51"/>
      <c r="BZ539" s="51"/>
      <c r="CA539" s="51"/>
      <c r="CB539" s="51"/>
      <c r="CC539" s="51"/>
      <c r="CD539" s="51"/>
      <c r="CE539" s="51"/>
      <c r="CF539" s="51"/>
      <c r="CG539" s="51"/>
    </row>
    <row r="540" ht="30.0"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c r="BA540" s="51"/>
      <c r="BB540" s="51"/>
      <c r="BC540" s="51"/>
      <c r="BD540" s="51"/>
      <c r="BE540" s="51"/>
      <c r="BF540" s="51"/>
      <c r="BG540" s="51"/>
      <c r="BH540" s="51"/>
      <c r="BI540" s="51"/>
      <c r="BJ540" s="51"/>
      <c r="BK540" s="51"/>
      <c r="BL540" s="51"/>
      <c r="BM540" s="51"/>
      <c r="BN540" s="51"/>
      <c r="BO540" s="51"/>
      <c r="BP540" s="51"/>
      <c r="BQ540" s="51"/>
      <c r="BR540" s="51"/>
      <c r="BS540" s="51"/>
      <c r="BT540" s="51"/>
      <c r="BU540" s="51"/>
      <c r="BV540" s="51"/>
      <c r="BW540" s="51"/>
      <c r="BX540" s="51"/>
      <c r="BY540" s="51"/>
      <c r="BZ540" s="51"/>
      <c r="CA540" s="51"/>
      <c r="CB540" s="51"/>
      <c r="CC540" s="51"/>
      <c r="CD540" s="51"/>
      <c r="CE540" s="51"/>
      <c r="CF540" s="51"/>
      <c r="CG540" s="51"/>
    </row>
    <row r="541" ht="30.0"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c r="BA541" s="51"/>
      <c r="BB541" s="51"/>
      <c r="BC541" s="51"/>
      <c r="BD541" s="51"/>
      <c r="BE541" s="51"/>
      <c r="BF541" s="51"/>
      <c r="BG541" s="51"/>
      <c r="BH541" s="51"/>
      <c r="BI541" s="51"/>
      <c r="BJ541" s="51"/>
      <c r="BK541" s="51"/>
      <c r="BL541" s="51"/>
      <c r="BM541" s="51"/>
      <c r="BN541" s="51"/>
      <c r="BO541" s="51"/>
      <c r="BP541" s="51"/>
      <c r="BQ541" s="51"/>
      <c r="BR541" s="51"/>
      <c r="BS541" s="51"/>
      <c r="BT541" s="51"/>
      <c r="BU541" s="51"/>
      <c r="BV541" s="51"/>
      <c r="BW541" s="51"/>
      <c r="BX541" s="51"/>
      <c r="BY541" s="51"/>
      <c r="BZ541" s="51"/>
      <c r="CA541" s="51"/>
      <c r="CB541" s="51"/>
      <c r="CC541" s="51"/>
      <c r="CD541" s="51"/>
      <c r="CE541" s="51"/>
      <c r="CF541" s="51"/>
      <c r="CG541" s="51"/>
    </row>
    <row r="542" ht="30.0"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c r="BA542" s="51"/>
      <c r="BB542" s="51"/>
      <c r="BC542" s="51"/>
      <c r="BD542" s="51"/>
      <c r="BE542" s="51"/>
      <c r="BF542" s="51"/>
      <c r="BG542" s="51"/>
      <c r="BH542" s="51"/>
      <c r="BI542" s="51"/>
      <c r="BJ542" s="51"/>
      <c r="BK542" s="51"/>
      <c r="BL542" s="51"/>
      <c r="BM542" s="51"/>
      <c r="BN542" s="51"/>
      <c r="BO542" s="51"/>
      <c r="BP542" s="51"/>
      <c r="BQ542" s="51"/>
      <c r="BR542" s="51"/>
      <c r="BS542" s="51"/>
      <c r="BT542" s="51"/>
      <c r="BU542" s="51"/>
      <c r="BV542" s="51"/>
      <c r="BW542" s="51"/>
      <c r="BX542" s="51"/>
      <c r="BY542" s="51"/>
      <c r="BZ542" s="51"/>
      <c r="CA542" s="51"/>
      <c r="CB542" s="51"/>
      <c r="CC542" s="51"/>
      <c r="CD542" s="51"/>
      <c r="CE542" s="51"/>
      <c r="CF542" s="51"/>
      <c r="CG542" s="51"/>
    </row>
    <row r="543" ht="30.0"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c r="BA543" s="51"/>
      <c r="BB543" s="51"/>
      <c r="BC543" s="51"/>
      <c r="BD543" s="51"/>
      <c r="BE543" s="51"/>
      <c r="BF543" s="51"/>
      <c r="BG543" s="51"/>
      <c r="BH543" s="51"/>
      <c r="BI543" s="51"/>
      <c r="BJ543" s="51"/>
      <c r="BK543" s="51"/>
      <c r="BL543" s="51"/>
      <c r="BM543" s="51"/>
      <c r="BN543" s="51"/>
      <c r="BO543" s="51"/>
      <c r="BP543" s="51"/>
      <c r="BQ543" s="51"/>
      <c r="BR543" s="51"/>
      <c r="BS543" s="51"/>
      <c r="BT543" s="51"/>
      <c r="BU543" s="51"/>
      <c r="BV543" s="51"/>
      <c r="BW543" s="51"/>
      <c r="BX543" s="51"/>
      <c r="BY543" s="51"/>
      <c r="BZ543" s="51"/>
      <c r="CA543" s="51"/>
      <c r="CB543" s="51"/>
      <c r="CC543" s="51"/>
      <c r="CD543" s="51"/>
      <c r="CE543" s="51"/>
      <c r="CF543" s="51"/>
      <c r="CG543" s="51"/>
    </row>
    <row r="544" ht="30.0"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c r="BA544" s="51"/>
      <c r="BB544" s="51"/>
      <c r="BC544" s="51"/>
      <c r="BD544" s="51"/>
      <c r="BE544" s="51"/>
      <c r="BF544" s="51"/>
      <c r="BG544" s="51"/>
      <c r="BH544" s="51"/>
      <c r="BI544" s="51"/>
      <c r="BJ544" s="51"/>
      <c r="BK544" s="51"/>
      <c r="BL544" s="51"/>
      <c r="BM544" s="51"/>
      <c r="BN544" s="51"/>
      <c r="BO544" s="51"/>
      <c r="BP544" s="51"/>
      <c r="BQ544" s="51"/>
      <c r="BR544" s="51"/>
      <c r="BS544" s="51"/>
      <c r="BT544" s="51"/>
      <c r="BU544" s="51"/>
      <c r="BV544" s="51"/>
      <c r="BW544" s="51"/>
      <c r="BX544" s="51"/>
      <c r="BY544" s="51"/>
      <c r="BZ544" s="51"/>
      <c r="CA544" s="51"/>
      <c r="CB544" s="51"/>
      <c r="CC544" s="51"/>
      <c r="CD544" s="51"/>
      <c r="CE544" s="51"/>
      <c r="CF544" s="51"/>
      <c r="CG544" s="51"/>
    </row>
    <row r="545" ht="30.0"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c r="BA545" s="51"/>
      <c r="BB545" s="51"/>
      <c r="BC545" s="51"/>
      <c r="BD545" s="51"/>
      <c r="BE545" s="51"/>
      <c r="BF545" s="51"/>
      <c r="BG545" s="51"/>
      <c r="BH545" s="51"/>
      <c r="BI545" s="51"/>
      <c r="BJ545" s="51"/>
      <c r="BK545" s="51"/>
      <c r="BL545" s="51"/>
      <c r="BM545" s="51"/>
      <c r="BN545" s="51"/>
      <c r="BO545" s="51"/>
      <c r="BP545" s="51"/>
      <c r="BQ545" s="51"/>
      <c r="BR545" s="51"/>
      <c r="BS545" s="51"/>
      <c r="BT545" s="51"/>
      <c r="BU545" s="51"/>
      <c r="BV545" s="51"/>
      <c r="BW545" s="51"/>
      <c r="BX545" s="51"/>
      <c r="BY545" s="51"/>
      <c r="BZ545" s="51"/>
      <c r="CA545" s="51"/>
      <c r="CB545" s="51"/>
      <c r="CC545" s="51"/>
      <c r="CD545" s="51"/>
      <c r="CE545" s="51"/>
      <c r="CF545" s="51"/>
      <c r="CG545" s="51"/>
    </row>
    <row r="546" ht="30.0"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c r="BA546" s="51"/>
      <c r="BB546" s="51"/>
      <c r="BC546" s="51"/>
      <c r="BD546" s="51"/>
      <c r="BE546" s="51"/>
      <c r="BF546" s="51"/>
      <c r="BG546" s="51"/>
      <c r="BH546" s="51"/>
      <c r="BI546" s="51"/>
      <c r="BJ546" s="51"/>
      <c r="BK546" s="51"/>
      <c r="BL546" s="51"/>
      <c r="BM546" s="51"/>
      <c r="BN546" s="51"/>
      <c r="BO546" s="51"/>
      <c r="BP546" s="51"/>
      <c r="BQ546" s="51"/>
      <c r="BR546" s="51"/>
      <c r="BS546" s="51"/>
      <c r="BT546" s="51"/>
      <c r="BU546" s="51"/>
      <c r="BV546" s="51"/>
      <c r="BW546" s="51"/>
      <c r="BX546" s="51"/>
      <c r="BY546" s="51"/>
      <c r="BZ546" s="51"/>
      <c r="CA546" s="51"/>
      <c r="CB546" s="51"/>
      <c r="CC546" s="51"/>
      <c r="CD546" s="51"/>
      <c r="CE546" s="51"/>
      <c r="CF546" s="51"/>
      <c r="CG546" s="51"/>
    </row>
    <row r="547" ht="30.0"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c r="BA547" s="51"/>
      <c r="BB547" s="51"/>
      <c r="BC547" s="51"/>
      <c r="BD547" s="51"/>
      <c r="BE547" s="51"/>
      <c r="BF547" s="51"/>
      <c r="BG547" s="51"/>
      <c r="BH547" s="51"/>
      <c r="BI547" s="51"/>
      <c r="BJ547" s="51"/>
      <c r="BK547" s="51"/>
      <c r="BL547" s="51"/>
      <c r="BM547" s="51"/>
      <c r="BN547" s="51"/>
      <c r="BO547" s="51"/>
      <c r="BP547" s="51"/>
      <c r="BQ547" s="51"/>
      <c r="BR547" s="51"/>
      <c r="BS547" s="51"/>
      <c r="BT547" s="51"/>
      <c r="BU547" s="51"/>
      <c r="BV547" s="51"/>
      <c r="BW547" s="51"/>
      <c r="BX547" s="51"/>
      <c r="BY547" s="51"/>
      <c r="BZ547" s="51"/>
      <c r="CA547" s="51"/>
      <c r="CB547" s="51"/>
      <c r="CC547" s="51"/>
      <c r="CD547" s="51"/>
      <c r="CE547" s="51"/>
      <c r="CF547" s="51"/>
      <c r="CG547" s="51"/>
    </row>
    <row r="548" ht="30.0"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c r="BA548" s="51"/>
      <c r="BB548" s="51"/>
      <c r="BC548" s="51"/>
      <c r="BD548" s="51"/>
      <c r="BE548" s="51"/>
      <c r="BF548" s="51"/>
      <c r="BG548" s="51"/>
      <c r="BH548" s="51"/>
      <c r="BI548" s="51"/>
      <c r="BJ548" s="51"/>
      <c r="BK548" s="51"/>
      <c r="BL548" s="51"/>
      <c r="BM548" s="51"/>
      <c r="BN548" s="51"/>
      <c r="BO548" s="51"/>
      <c r="BP548" s="51"/>
      <c r="BQ548" s="51"/>
      <c r="BR548" s="51"/>
      <c r="BS548" s="51"/>
      <c r="BT548" s="51"/>
      <c r="BU548" s="51"/>
      <c r="BV548" s="51"/>
      <c r="BW548" s="51"/>
      <c r="BX548" s="51"/>
      <c r="BY548" s="51"/>
      <c r="BZ548" s="51"/>
      <c r="CA548" s="51"/>
      <c r="CB548" s="51"/>
      <c r="CC548" s="51"/>
      <c r="CD548" s="51"/>
      <c r="CE548" s="51"/>
      <c r="CF548" s="51"/>
      <c r="CG548" s="51"/>
    </row>
    <row r="549" ht="30.0"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c r="BA549" s="51"/>
      <c r="BB549" s="51"/>
      <c r="BC549" s="51"/>
      <c r="BD549" s="51"/>
      <c r="BE549" s="51"/>
      <c r="BF549" s="51"/>
      <c r="BG549" s="51"/>
      <c r="BH549" s="51"/>
      <c r="BI549" s="51"/>
      <c r="BJ549" s="51"/>
      <c r="BK549" s="51"/>
      <c r="BL549" s="51"/>
      <c r="BM549" s="51"/>
      <c r="BN549" s="51"/>
      <c r="BO549" s="51"/>
      <c r="BP549" s="51"/>
      <c r="BQ549" s="51"/>
      <c r="BR549" s="51"/>
      <c r="BS549" s="51"/>
      <c r="BT549" s="51"/>
      <c r="BU549" s="51"/>
      <c r="BV549" s="51"/>
      <c r="BW549" s="51"/>
      <c r="BX549" s="51"/>
      <c r="BY549" s="51"/>
      <c r="BZ549" s="51"/>
      <c r="CA549" s="51"/>
      <c r="CB549" s="51"/>
      <c r="CC549" s="51"/>
      <c r="CD549" s="51"/>
      <c r="CE549" s="51"/>
      <c r="CF549" s="51"/>
      <c r="CG549" s="51"/>
    </row>
    <row r="550" ht="30.0"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c r="BA550" s="51"/>
      <c r="BB550" s="51"/>
      <c r="BC550" s="51"/>
      <c r="BD550" s="51"/>
      <c r="BE550" s="51"/>
      <c r="BF550" s="51"/>
      <c r="BG550" s="51"/>
      <c r="BH550" s="51"/>
      <c r="BI550" s="51"/>
      <c r="BJ550" s="51"/>
      <c r="BK550" s="51"/>
      <c r="BL550" s="51"/>
      <c r="BM550" s="51"/>
      <c r="BN550" s="51"/>
      <c r="BO550" s="51"/>
      <c r="BP550" s="51"/>
      <c r="BQ550" s="51"/>
      <c r="BR550" s="51"/>
      <c r="BS550" s="51"/>
      <c r="BT550" s="51"/>
      <c r="BU550" s="51"/>
      <c r="BV550" s="51"/>
      <c r="BW550" s="51"/>
      <c r="BX550" s="51"/>
      <c r="BY550" s="51"/>
      <c r="BZ550" s="51"/>
      <c r="CA550" s="51"/>
      <c r="CB550" s="51"/>
      <c r="CC550" s="51"/>
      <c r="CD550" s="51"/>
      <c r="CE550" s="51"/>
      <c r="CF550" s="51"/>
      <c r="CG550" s="51"/>
    </row>
    <row r="551" ht="30.0"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c r="BA551" s="51"/>
      <c r="BB551" s="51"/>
      <c r="BC551" s="51"/>
      <c r="BD551" s="51"/>
      <c r="BE551" s="51"/>
      <c r="BF551" s="51"/>
      <c r="BG551" s="51"/>
      <c r="BH551" s="51"/>
      <c r="BI551" s="51"/>
      <c r="BJ551" s="51"/>
      <c r="BK551" s="51"/>
      <c r="BL551" s="51"/>
      <c r="BM551" s="51"/>
      <c r="BN551" s="51"/>
      <c r="BO551" s="51"/>
      <c r="BP551" s="51"/>
      <c r="BQ551" s="51"/>
      <c r="BR551" s="51"/>
      <c r="BS551" s="51"/>
      <c r="BT551" s="51"/>
      <c r="BU551" s="51"/>
      <c r="BV551" s="51"/>
      <c r="BW551" s="51"/>
      <c r="BX551" s="51"/>
      <c r="BY551" s="51"/>
      <c r="BZ551" s="51"/>
      <c r="CA551" s="51"/>
      <c r="CB551" s="51"/>
      <c r="CC551" s="51"/>
      <c r="CD551" s="51"/>
      <c r="CE551" s="51"/>
      <c r="CF551" s="51"/>
      <c r="CG551" s="51"/>
    </row>
    <row r="552" ht="30.0"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c r="BA552" s="51"/>
      <c r="BB552" s="51"/>
      <c r="BC552" s="51"/>
      <c r="BD552" s="51"/>
      <c r="BE552" s="51"/>
      <c r="BF552" s="51"/>
      <c r="BG552" s="51"/>
      <c r="BH552" s="51"/>
      <c r="BI552" s="51"/>
      <c r="BJ552" s="51"/>
      <c r="BK552" s="51"/>
      <c r="BL552" s="51"/>
      <c r="BM552" s="51"/>
      <c r="BN552" s="51"/>
      <c r="BO552" s="51"/>
      <c r="BP552" s="51"/>
      <c r="BQ552" s="51"/>
      <c r="BR552" s="51"/>
      <c r="BS552" s="51"/>
      <c r="BT552" s="51"/>
      <c r="BU552" s="51"/>
      <c r="BV552" s="51"/>
      <c r="BW552" s="51"/>
      <c r="BX552" s="51"/>
      <c r="BY552" s="51"/>
      <c r="BZ552" s="51"/>
      <c r="CA552" s="51"/>
      <c r="CB552" s="51"/>
      <c r="CC552" s="51"/>
      <c r="CD552" s="51"/>
      <c r="CE552" s="51"/>
      <c r="CF552" s="51"/>
      <c r="CG552" s="51"/>
    </row>
    <row r="553" ht="30.0"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c r="BA553" s="51"/>
      <c r="BB553" s="51"/>
      <c r="BC553" s="51"/>
      <c r="BD553" s="51"/>
      <c r="BE553" s="51"/>
      <c r="BF553" s="51"/>
      <c r="BG553" s="51"/>
      <c r="BH553" s="51"/>
      <c r="BI553" s="51"/>
      <c r="BJ553" s="51"/>
      <c r="BK553" s="51"/>
      <c r="BL553" s="51"/>
      <c r="BM553" s="51"/>
      <c r="BN553" s="51"/>
      <c r="BO553" s="51"/>
      <c r="BP553" s="51"/>
      <c r="BQ553" s="51"/>
      <c r="BR553" s="51"/>
      <c r="BS553" s="51"/>
      <c r="BT553" s="51"/>
      <c r="BU553" s="51"/>
      <c r="BV553" s="51"/>
      <c r="BW553" s="51"/>
      <c r="BX553" s="51"/>
      <c r="BY553" s="51"/>
      <c r="BZ553" s="51"/>
      <c r="CA553" s="51"/>
      <c r="CB553" s="51"/>
      <c r="CC553" s="51"/>
      <c r="CD553" s="51"/>
      <c r="CE553" s="51"/>
      <c r="CF553" s="51"/>
      <c r="CG553" s="51"/>
    </row>
    <row r="554" ht="30.0"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c r="BA554" s="51"/>
      <c r="BB554" s="51"/>
      <c r="BC554" s="51"/>
      <c r="BD554" s="51"/>
      <c r="BE554" s="51"/>
      <c r="BF554" s="51"/>
      <c r="BG554" s="51"/>
      <c r="BH554" s="51"/>
      <c r="BI554" s="51"/>
      <c r="BJ554" s="51"/>
      <c r="BK554" s="51"/>
      <c r="BL554" s="51"/>
      <c r="BM554" s="51"/>
      <c r="BN554" s="51"/>
      <c r="BO554" s="51"/>
      <c r="BP554" s="51"/>
      <c r="BQ554" s="51"/>
      <c r="BR554" s="51"/>
      <c r="BS554" s="51"/>
      <c r="BT554" s="51"/>
      <c r="BU554" s="51"/>
      <c r="BV554" s="51"/>
      <c r="BW554" s="51"/>
      <c r="BX554" s="51"/>
      <c r="BY554" s="51"/>
      <c r="BZ554" s="51"/>
      <c r="CA554" s="51"/>
      <c r="CB554" s="51"/>
      <c r="CC554" s="51"/>
      <c r="CD554" s="51"/>
      <c r="CE554" s="51"/>
      <c r="CF554" s="51"/>
      <c r="CG554" s="51"/>
    </row>
    <row r="555" ht="30.0"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c r="BA555" s="51"/>
      <c r="BB555" s="51"/>
      <c r="BC555" s="51"/>
      <c r="BD555" s="51"/>
      <c r="BE555" s="51"/>
      <c r="BF555" s="51"/>
      <c r="BG555" s="51"/>
      <c r="BH555" s="51"/>
      <c r="BI555" s="51"/>
      <c r="BJ555" s="51"/>
      <c r="BK555" s="51"/>
      <c r="BL555" s="51"/>
      <c r="BM555" s="51"/>
      <c r="BN555" s="51"/>
      <c r="BO555" s="51"/>
      <c r="BP555" s="51"/>
      <c r="BQ555" s="51"/>
      <c r="BR555" s="51"/>
      <c r="BS555" s="51"/>
      <c r="BT555" s="51"/>
      <c r="BU555" s="51"/>
      <c r="BV555" s="51"/>
      <c r="BW555" s="51"/>
      <c r="BX555" s="51"/>
      <c r="BY555" s="51"/>
      <c r="BZ555" s="51"/>
      <c r="CA555" s="51"/>
      <c r="CB555" s="51"/>
      <c r="CC555" s="51"/>
      <c r="CD555" s="51"/>
      <c r="CE555" s="51"/>
      <c r="CF555" s="51"/>
      <c r="CG555" s="51"/>
    </row>
    <row r="556" ht="30.0"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c r="BA556" s="51"/>
      <c r="BB556" s="51"/>
      <c r="BC556" s="51"/>
      <c r="BD556" s="51"/>
      <c r="BE556" s="51"/>
      <c r="BF556" s="51"/>
      <c r="BG556" s="51"/>
      <c r="BH556" s="51"/>
      <c r="BI556" s="51"/>
      <c r="BJ556" s="51"/>
      <c r="BK556" s="51"/>
      <c r="BL556" s="51"/>
      <c r="BM556" s="51"/>
      <c r="BN556" s="51"/>
      <c r="BO556" s="51"/>
      <c r="BP556" s="51"/>
      <c r="BQ556" s="51"/>
      <c r="BR556" s="51"/>
      <c r="BS556" s="51"/>
      <c r="BT556" s="51"/>
      <c r="BU556" s="51"/>
      <c r="BV556" s="51"/>
      <c r="BW556" s="51"/>
      <c r="BX556" s="51"/>
      <c r="BY556" s="51"/>
      <c r="BZ556" s="51"/>
      <c r="CA556" s="51"/>
      <c r="CB556" s="51"/>
      <c r="CC556" s="51"/>
      <c r="CD556" s="51"/>
      <c r="CE556" s="51"/>
      <c r="CF556" s="51"/>
      <c r="CG556" s="51"/>
    </row>
    <row r="557" ht="30.0"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c r="BA557" s="51"/>
      <c r="BB557" s="51"/>
      <c r="BC557" s="51"/>
      <c r="BD557" s="51"/>
      <c r="BE557" s="51"/>
      <c r="BF557" s="51"/>
      <c r="BG557" s="51"/>
      <c r="BH557" s="51"/>
      <c r="BI557" s="51"/>
      <c r="BJ557" s="51"/>
      <c r="BK557" s="51"/>
      <c r="BL557" s="51"/>
      <c r="BM557" s="51"/>
      <c r="BN557" s="51"/>
      <c r="BO557" s="51"/>
      <c r="BP557" s="51"/>
      <c r="BQ557" s="51"/>
      <c r="BR557" s="51"/>
      <c r="BS557" s="51"/>
      <c r="BT557" s="51"/>
      <c r="BU557" s="51"/>
      <c r="BV557" s="51"/>
      <c r="BW557" s="51"/>
      <c r="BX557" s="51"/>
      <c r="BY557" s="51"/>
      <c r="BZ557" s="51"/>
      <c r="CA557" s="51"/>
      <c r="CB557" s="51"/>
      <c r="CC557" s="51"/>
      <c r="CD557" s="51"/>
      <c r="CE557" s="51"/>
      <c r="CF557" s="51"/>
      <c r="CG557" s="51"/>
    </row>
    <row r="558" ht="30.0"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c r="BA558" s="51"/>
      <c r="BB558" s="51"/>
      <c r="BC558" s="51"/>
      <c r="BD558" s="51"/>
      <c r="BE558" s="51"/>
      <c r="BF558" s="51"/>
      <c r="BG558" s="51"/>
      <c r="BH558" s="51"/>
      <c r="BI558" s="51"/>
      <c r="BJ558" s="51"/>
      <c r="BK558" s="51"/>
      <c r="BL558" s="51"/>
      <c r="BM558" s="51"/>
      <c r="BN558" s="51"/>
      <c r="BO558" s="51"/>
      <c r="BP558" s="51"/>
      <c r="BQ558" s="51"/>
      <c r="BR558" s="51"/>
      <c r="BS558" s="51"/>
      <c r="BT558" s="51"/>
      <c r="BU558" s="51"/>
      <c r="BV558" s="51"/>
      <c r="BW558" s="51"/>
      <c r="BX558" s="51"/>
      <c r="BY558" s="51"/>
      <c r="BZ558" s="51"/>
      <c r="CA558" s="51"/>
      <c r="CB558" s="51"/>
      <c r="CC558" s="51"/>
      <c r="CD558" s="51"/>
      <c r="CE558" s="51"/>
      <c r="CF558" s="51"/>
      <c r="CG558" s="51"/>
    </row>
    <row r="559" ht="30.0"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c r="BA559" s="51"/>
      <c r="BB559" s="51"/>
      <c r="BC559" s="51"/>
      <c r="BD559" s="51"/>
      <c r="BE559" s="51"/>
      <c r="BF559" s="51"/>
      <c r="BG559" s="51"/>
      <c r="BH559" s="51"/>
      <c r="BI559" s="51"/>
      <c r="BJ559" s="51"/>
      <c r="BK559" s="51"/>
      <c r="BL559" s="51"/>
      <c r="BM559" s="51"/>
      <c r="BN559" s="51"/>
      <c r="BO559" s="51"/>
      <c r="BP559" s="51"/>
      <c r="BQ559" s="51"/>
      <c r="BR559" s="51"/>
      <c r="BS559" s="51"/>
      <c r="BT559" s="51"/>
      <c r="BU559" s="51"/>
      <c r="BV559" s="51"/>
      <c r="BW559" s="51"/>
      <c r="BX559" s="51"/>
      <c r="BY559" s="51"/>
      <c r="BZ559" s="51"/>
      <c r="CA559" s="51"/>
      <c r="CB559" s="51"/>
      <c r="CC559" s="51"/>
      <c r="CD559" s="51"/>
      <c r="CE559" s="51"/>
      <c r="CF559" s="51"/>
      <c r="CG559" s="51"/>
    </row>
    <row r="560" ht="30.0"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c r="BA560" s="51"/>
      <c r="BB560" s="51"/>
      <c r="BC560" s="51"/>
      <c r="BD560" s="51"/>
      <c r="BE560" s="51"/>
      <c r="BF560" s="51"/>
      <c r="BG560" s="51"/>
      <c r="BH560" s="51"/>
      <c r="BI560" s="51"/>
      <c r="BJ560" s="51"/>
      <c r="BK560" s="51"/>
      <c r="BL560" s="51"/>
      <c r="BM560" s="51"/>
      <c r="BN560" s="51"/>
      <c r="BO560" s="51"/>
      <c r="BP560" s="51"/>
      <c r="BQ560" s="51"/>
      <c r="BR560" s="51"/>
      <c r="BS560" s="51"/>
      <c r="BT560" s="51"/>
      <c r="BU560" s="51"/>
      <c r="BV560" s="51"/>
      <c r="BW560" s="51"/>
      <c r="BX560" s="51"/>
      <c r="BY560" s="51"/>
      <c r="BZ560" s="51"/>
      <c r="CA560" s="51"/>
      <c r="CB560" s="51"/>
      <c r="CC560" s="51"/>
      <c r="CD560" s="51"/>
      <c r="CE560" s="51"/>
      <c r="CF560" s="51"/>
      <c r="CG560" s="51"/>
    </row>
    <row r="561" ht="30.0"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c r="BA561" s="51"/>
      <c r="BB561" s="51"/>
      <c r="BC561" s="51"/>
      <c r="BD561" s="51"/>
      <c r="BE561" s="51"/>
      <c r="BF561" s="51"/>
      <c r="BG561" s="51"/>
      <c r="BH561" s="51"/>
      <c r="BI561" s="51"/>
      <c r="BJ561" s="51"/>
      <c r="BK561" s="51"/>
      <c r="BL561" s="51"/>
      <c r="BM561" s="51"/>
      <c r="BN561" s="51"/>
      <c r="BO561" s="51"/>
      <c r="BP561" s="51"/>
      <c r="BQ561" s="51"/>
      <c r="BR561" s="51"/>
      <c r="BS561" s="51"/>
      <c r="BT561" s="51"/>
      <c r="BU561" s="51"/>
      <c r="BV561" s="51"/>
      <c r="BW561" s="51"/>
      <c r="BX561" s="51"/>
      <c r="BY561" s="51"/>
      <c r="BZ561" s="51"/>
      <c r="CA561" s="51"/>
      <c r="CB561" s="51"/>
      <c r="CC561" s="51"/>
      <c r="CD561" s="51"/>
      <c r="CE561" s="51"/>
      <c r="CF561" s="51"/>
      <c r="CG561" s="51"/>
    </row>
    <row r="562" ht="30.0"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c r="BA562" s="51"/>
      <c r="BB562" s="51"/>
      <c r="BC562" s="51"/>
      <c r="BD562" s="51"/>
      <c r="BE562" s="51"/>
      <c r="BF562" s="51"/>
      <c r="BG562" s="51"/>
      <c r="BH562" s="51"/>
      <c r="BI562" s="51"/>
      <c r="BJ562" s="51"/>
      <c r="BK562" s="51"/>
      <c r="BL562" s="51"/>
      <c r="BM562" s="51"/>
      <c r="BN562" s="51"/>
      <c r="BO562" s="51"/>
      <c r="BP562" s="51"/>
      <c r="BQ562" s="51"/>
      <c r="BR562" s="51"/>
      <c r="BS562" s="51"/>
      <c r="BT562" s="51"/>
      <c r="BU562" s="51"/>
      <c r="BV562" s="51"/>
      <c r="BW562" s="51"/>
      <c r="BX562" s="51"/>
      <c r="BY562" s="51"/>
      <c r="BZ562" s="51"/>
      <c r="CA562" s="51"/>
      <c r="CB562" s="51"/>
      <c r="CC562" s="51"/>
      <c r="CD562" s="51"/>
      <c r="CE562" s="51"/>
      <c r="CF562" s="51"/>
      <c r="CG562" s="51"/>
    </row>
    <row r="563" ht="30.0"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c r="BA563" s="51"/>
      <c r="BB563" s="51"/>
      <c r="BC563" s="51"/>
      <c r="BD563" s="51"/>
      <c r="BE563" s="51"/>
      <c r="BF563" s="51"/>
      <c r="BG563" s="51"/>
      <c r="BH563" s="51"/>
      <c r="BI563" s="51"/>
      <c r="BJ563" s="51"/>
      <c r="BK563" s="51"/>
      <c r="BL563" s="51"/>
      <c r="BM563" s="51"/>
      <c r="BN563" s="51"/>
      <c r="BO563" s="51"/>
      <c r="BP563" s="51"/>
      <c r="BQ563" s="51"/>
      <c r="BR563" s="51"/>
      <c r="BS563" s="51"/>
      <c r="BT563" s="51"/>
      <c r="BU563" s="51"/>
      <c r="BV563" s="51"/>
      <c r="BW563" s="51"/>
      <c r="BX563" s="51"/>
      <c r="BY563" s="51"/>
      <c r="BZ563" s="51"/>
      <c r="CA563" s="51"/>
      <c r="CB563" s="51"/>
      <c r="CC563" s="51"/>
      <c r="CD563" s="51"/>
      <c r="CE563" s="51"/>
      <c r="CF563" s="51"/>
      <c r="CG563" s="51"/>
    </row>
    <row r="564" ht="30.0"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c r="BA564" s="51"/>
      <c r="BB564" s="51"/>
      <c r="BC564" s="51"/>
      <c r="BD564" s="51"/>
      <c r="BE564" s="51"/>
      <c r="BF564" s="51"/>
      <c r="BG564" s="51"/>
      <c r="BH564" s="51"/>
      <c r="BI564" s="51"/>
      <c r="BJ564" s="51"/>
      <c r="BK564" s="51"/>
      <c r="BL564" s="51"/>
      <c r="BM564" s="51"/>
      <c r="BN564" s="51"/>
      <c r="BO564" s="51"/>
      <c r="BP564" s="51"/>
      <c r="BQ564" s="51"/>
      <c r="BR564" s="51"/>
      <c r="BS564" s="51"/>
      <c r="BT564" s="51"/>
      <c r="BU564" s="51"/>
      <c r="BV564" s="51"/>
      <c r="BW564" s="51"/>
      <c r="BX564" s="51"/>
      <c r="BY564" s="51"/>
      <c r="BZ564" s="51"/>
      <c r="CA564" s="51"/>
      <c r="CB564" s="51"/>
      <c r="CC564" s="51"/>
      <c r="CD564" s="51"/>
      <c r="CE564" s="51"/>
      <c r="CF564" s="51"/>
      <c r="CG564" s="51"/>
    </row>
    <row r="565" ht="30.0"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c r="BA565" s="51"/>
      <c r="BB565" s="51"/>
      <c r="BC565" s="51"/>
      <c r="BD565" s="51"/>
      <c r="BE565" s="51"/>
      <c r="BF565" s="51"/>
      <c r="BG565" s="51"/>
      <c r="BH565" s="51"/>
      <c r="BI565" s="51"/>
      <c r="BJ565" s="51"/>
      <c r="BK565" s="51"/>
      <c r="BL565" s="51"/>
      <c r="BM565" s="51"/>
      <c r="BN565" s="51"/>
      <c r="BO565" s="51"/>
      <c r="BP565" s="51"/>
      <c r="BQ565" s="51"/>
      <c r="BR565" s="51"/>
      <c r="BS565" s="51"/>
      <c r="BT565" s="51"/>
      <c r="BU565" s="51"/>
      <c r="BV565" s="51"/>
      <c r="BW565" s="51"/>
      <c r="BX565" s="51"/>
      <c r="BY565" s="51"/>
      <c r="BZ565" s="51"/>
      <c r="CA565" s="51"/>
      <c r="CB565" s="51"/>
      <c r="CC565" s="51"/>
      <c r="CD565" s="51"/>
      <c r="CE565" s="51"/>
      <c r="CF565" s="51"/>
      <c r="CG565" s="51"/>
    </row>
    <row r="566" ht="30.0"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c r="BA566" s="51"/>
      <c r="BB566" s="51"/>
      <c r="BC566" s="51"/>
      <c r="BD566" s="51"/>
      <c r="BE566" s="51"/>
      <c r="BF566" s="51"/>
      <c r="BG566" s="51"/>
      <c r="BH566" s="51"/>
      <c r="BI566" s="51"/>
      <c r="BJ566" s="51"/>
      <c r="BK566" s="51"/>
      <c r="BL566" s="51"/>
      <c r="BM566" s="51"/>
      <c r="BN566" s="51"/>
      <c r="BO566" s="51"/>
      <c r="BP566" s="51"/>
      <c r="BQ566" s="51"/>
      <c r="BR566" s="51"/>
      <c r="BS566" s="51"/>
      <c r="BT566" s="51"/>
      <c r="BU566" s="51"/>
      <c r="BV566" s="51"/>
      <c r="BW566" s="51"/>
      <c r="BX566" s="51"/>
      <c r="BY566" s="51"/>
      <c r="BZ566" s="51"/>
      <c r="CA566" s="51"/>
      <c r="CB566" s="51"/>
      <c r="CC566" s="51"/>
      <c r="CD566" s="51"/>
      <c r="CE566" s="51"/>
      <c r="CF566" s="51"/>
      <c r="CG566" s="51"/>
    </row>
    <row r="567" ht="30.0"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c r="BA567" s="51"/>
      <c r="BB567" s="51"/>
      <c r="BC567" s="51"/>
      <c r="BD567" s="51"/>
      <c r="BE567" s="51"/>
      <c r="BF567" s="51"/>
      <c r="BG567" s="51"/>
      <c r="BH567" s="51"/>
      <c r="BI567" s="51"/>
      <c r="BJ567" s="51"/>
      <c r="BK567" s="51"/>
      <c r="BL567" s="51"/>
      <c r="BM567" s="51"/>
      <c r="BN567" s="51"/>
      <c r="BO567" s="51"/>
      <c r="BP567" s="51"/>
      <c r="BQ567" s="51"/>
      <c r="BR567" s="51"/>
      <c r="BS567" s="51"/>
      <c r="BT567" s="51"/>
      <c r="BU567" s="51"/>
      <c r="BV567" s="51"/>
      <c r="BW567" s="51"/>
      <c r="BX567" s="51"/>
      <c r="BY567" s="51"/>
      <c r="BZ567" s="51"/>
      <c r="CA567" s="51"/>
      <c r="CB567" s="51"/>
      <c r="CC567" s="51"/>
      <c r="CD567" s="51"/>
      <c r="CE567" s="51"/>
      <c r="CF567" s="51"/>
      <c r="CG567" s="51"/>
    </row>
    <row r="568" ht="30.0"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c r="BA568" s="51"/>
      <c r="BB568" s="51"/>
      <c r="BC568" s="51"/>
      <c r="BD568" s="51"/>
      <c r="BE568" s="51"/>
      <c r="BF568" s="51"/>
      <c r="BG568" s="51"/>
      <c r="BH568" s="51"/>
      <c r="BI568" s="51"/>
      <c r="BJ568" s="51"/>
      <c r="BK568" s="51"/>
      <c r="BL568" s="51"/>
      <c r="BM568" s="51"/>
      <c r="BN568" s="51"/>
      <c r="BO568" s="51"/>
      <c r="BP568" s="51"/>
      <c r="BQ568" s="51"/>
      <c r="BR568" s="51"/>
      <c r="BS568" s="51"/>
      <c r="BT568" s="51"/>
      <c r="BU568" s="51"/>
      <c r="BV568" s="51"/>
      <c r="BW568" s="51"/>
      <c r="BX568" s="51"/>
      <c r="BY568" s="51"/>
      <c r="BZ568" s="51"/>
      <c r="CA568" s="51"/>
      <c r="CB568" s="51"/>
      <c r="CC568" s="51"/>
      <c r="CD568" s="51"/>
      <c r="CE568" s="51"/>
      <c r="CF568" s="51"/>
      <c r="CG568" s="51"/>
    </row>
    <row r="569" ht="30.0"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c r="BA569" s="51"/>
      <c r="BB569" s="51"/>
      <c r="BC569" s="51"/>
      <c r="BD569" s="51"/>
      <c r="BE569" s="51"/>
      <c r="BF569" s="51"/>
      <c r="BG569" s="51"/>
      <c r="BH569" s="51"/>
      <c r="BI569" s="51"/>
      <c r="BJ569" s="51"/>
      <c r="BK569" s="51"/>
      <c r="BL569" s="51"/>
      <c r="BM569" s="51"/>
      <c r="BN569" s="51"/>
      <c r="BO569" s="51"/>
      <c r="BP569" s="51"/>
      <c r="BQ569" s="51"/>
      <c r="BR569" s="51"/>
      <c r="BS569" s="51"/>
      <c r="BT569" s="51"/>
      <c r="BU569" s="51"/>
      <c r="BV569" s="51"/>
      <c r="BW569" s="51"/>
      <c r="BX569" s="51"/>
      <c r="BY569" s="51"/>
      <c r="BZ569" s="51"/>
      <c r="CA569" s="51"/>
      <c r="CB569" s="51"/>
      <c r="CC569" s="51"/>
      <c r="CD569" s="51"/>
      <c r="CE569" s="51"/>
      <c r="CF569" s="51"/>
      <c r="CG569" s="51"/>
    </row>
    <row r="570" ht="30.0"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c r="BA570" s="51"/>
      <c r="BB570" s="51"/>
      <c r="BC570" s="51"/>
      <c r="BD570" s="51"/>
      <c r="BE570" s="51"/>
      <c r="BF570" s="51"/>
      <c r="BG570" s="51"/>
      <c r="BH570" s="51"/>
      <c r="BI570" s="51"/>
      <c r="BJ570" s="51"/>
      <c r="BK570" s="51"/>
      <c r="BL570" s="51"/>
      <c r="BM570" s="51"/>
      <c r="BN570" s="51"/>
      <c r="BO570" s="51"/>
      <c r="BP570" s="51"/>
      <c r="BQ570" s="51"/>
      <c r="BR570" s="51"/>
      <c r="BS570" s="51"/>
      <c r="BT570" s="51"/>
      <c r="BU570" s="51"/>
      <c r="BV570" s="51"/>
      <c r="BW570" s="51"/>
      <c r="BX570" s="51"/>
      <c r="BY570" s="51"/>
      <c r="BZ570" s="51"/>
      <c r="CA570" s="51"/>
      <c r="CB570" s="51"/>
      <c r="CC570" s="51"/>
      <c r="CD570" s="51"/>
      <c r="CE570" s="51"/>
      <c r="CF570" s="51"/>
      <c r="CG570" s="51"/>
    </row>
    <row r="571" ht="30.0"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c r="BA571" s="51"/>
      <c r="BB571" s="51"/>
      <c r="BC571" s="51"/>
      <c r="BD571" s="51"/>
      <c r="BE571" s="51"/>
      <c r="BF571" s="51"/>
      <c r="BG571" s="51"/>
      <c r="BH571" s="51"/>
      <c r="BI571" s="51"/>
      <c r="BJ571" s="51"/>
      <c r="BK571" s="51"/>
      <c r="BL571" s="51"/>
      <c r="BM571" s="51"/>
      <c r="BN571" s="51"/>
      <c r="BO571" s="51"/>
      <c r="BP571" s="51"/>
      <c r="BQ571" s="51"/>
      <c r="BR571" s="51"/>
      <c r="BS571" s="51"/>
      <c r="BT571" s="51"/>
      <c r="BU571" s="51"/>
      <c r="BV571" s="51"/>
      <c r="BW571" s="51"/>
      <c r="BX571" s="51"/>
      <c r="BY571" s="51"/>
      <c r="BZ571" s="51"/>
      <c r="CA571" s="51"/>
      <c r="CB571" s="51"/>
      <c r="CC571" s="51"/>
      <c r="CD571" s="51"/>
      <c r="CE571" s="51"/>
      <c r="CF571" s="51"/>
      <c r="CG571" s="51"/>
    </row>
    <row r="572" ht="30.0"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c r="BA572" s="51"/>
      <c r="BB572" s="51"/>
      <c r="BC572" s="51"/>
      <c r="BD572" s="51"/>
      <c r="BE572" s="51"/>
      <c r="BF572" s="51"/>
      <c r="BG572" s="51"/>
      <c r="BH572" s="51"/>
      <c r="BI572" s="51"/>
      <c r="BJ572" s="51"/>
      <c r="BK572" s="51"/>
      <c r="BL572" s="51"/>
      <c r="BM572" s="51"/>
      <c r="BN572" s="51"/>
      <c r="BO572" s="51"/>
      <c r="BP572" s="51"/>
      <c r="BQ572" s="51"/>
      <c r="BR572" s="51"/>
      <c r="BS572" s="51"/>
      <c r="BT572" s="51"/>
      <c r="BU572" s="51"/>
      <c r="BV572" s="51"/>
      <c r="BW572" s="51"/>
      <c r="BX572" s="51"/>
      <c r="BY572" s="51"/>
      <c r="BZ572" s="51"/>
      <c r="CA572" s="51"/>
      <c r="CB572" s="51"/>
      <c r="CC572" s="51"/>
      <c r="CD572" s="51"/>
      <c r="CE572" s="51"/>
      <c r="CF572" s="51"/>
      <c r="CG572" s="51"/>
    </row>
    <row r="573" ht="30.0"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c r="BA573" s="51"/>
      <c r="BB573" s="51"/>
      <c r="BC573" s="51"/>
      <c r="BD573" s="51"/>
      <c r="BE573" s="51"/>
      <c r="BF573" s="51"/>
      <c r="BG573" s="51"/>
      <c r="BH573" s="51"/>
      <c r="BI573" s="51"/>
      <c r="BJ573" s="51"/>
      <c r="BK573" s="51"/>
      <c r="BL573" s="51"/>
      <c r="BM573" s="51"/>
      <c r="BN573" s="51"/>
      <c r="BO573" s="51"/>
      <c r="BP573" s="51"/>
      <c r="BQ573" s="51"/>
      <c r="BR573" s="51"/>
      <c r="BS573" s="51"/>
      <c r="BT573" s="51"/>
      <c r="BU573" s="51"/>
      <c r="BV573" s="51"/>
      <c r="BW573" s="51"/>
      <c r="BX573" s="51"/>
      <c r="BY573" s="51"/>
      <c r="BZ573" s="51"/>
      <c r="CA573" s="51"/>
      <c r="CB573" s="51"/>
      <c r="CC573" s="51"/>
      <c r="CD573" s="51"/>
      <c r="CE573" s="51"/>
      <c r="CF573" s="51"/>
      <c r="CG573" s="51"/>
    </row>
    <row r="574" ht="30.0"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c r="BA574" s="51"/>
      <c r="BB574" s="51"/>
      <c r="BC574" s="51"/>
      <c r="BD574" s="51"/>
      <c r="BE574" s="51"/>
      <c r="BF574" s="51"/>
      <c r="BG574" s="51"/>
      <c r="BH574" s="51"/>
      <c r="BI574" s="51"/>
      <c r="BJ574" s="51"/>
      <c r="BK574" s="51"/>
      <c r="BL574" s="51"/>
      <c r="BM574" s="51"/>
      <c r="BN574" s="51"/>
      <c r="BO574" s="51"/>
      <c r="BP574" s="51"/>
      <c r="BQ574" s="51"/>
      <c r="BR574" s="51"/>
      <c r="BS574" s="51"/>
      <c r="BT574" s="51"/>
      <c r="BU574" s="51"/>
      <c r="BV574" s="51"/>
      <c r="BW574" s="51"/>
      <c r="BX574" s="51"/>
      <c r="BY574" s="51"/>
      <c r="BZ574" s="51"/>
      <c r="CA574" s="51"/>
      <c r="CB574" s="51"/>
      <c r="CC574" s="51"/>
      <c r="CD574" s="51"/>
      <c r="CE574" s="51"/>
      <c r="CF574" s="51"/>
      <c r="CG574" s="51"/>
    </row>
    <row r="575" ht="30.0"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c r="BA575" s="51"/>
      <c r="BB575" s="51"/>
      <c r="BC575" s="51"/>
      <c r="BD575" s="51"/>
      <c r="BE575" s="51"/>
      <c r="BF575" s="51"/>
      <c r="BG575" s="51"/>
      <c r="BH575" s="51"/>
      <c r="BI575" s="51"/>
      <c r="BJ575" s="51"/>
      <c r="BK575" s="51"/>
      <c r="BL575" s="51"/>
      <c r="BM575" s="51"/>
      <c r="BN575" s="51"/>
      <c r="BO575" s="51"/>
      <c r="BP575" s="51"/>
      <c r="BQ575" s="51"/>
      <c r="BR575" s="51"/>
      <c r="BS575" s="51"/>
      <c r="BT575" s="51"/>
      <c r="BU575" s="51"/>
      <c r="BV575" s="51"/>
      <c r="BW575" s="51"/>
      <c r="BX575" s="51"/>
      <c r="BY575" s="51"/>
      <c r="BZ575" s="51"/>
      <c r="CA575" s="51"/>
      <c r="CB575" s="51"/>
      <c r="CC575" s="51"/>
      <c r="CD575" s="51"/>
      <c r="CE575" s="51"/>
      <c r="CF575" s="51"/>
      <c r="CG575" s="51"/>
    </row>
    <row r="576" ht="30.0"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c r="BA576" s="51"/>
      <c r="BB576" s="51"/>
      <c r="BC576" s="51"/>
      <c r="BD576" s="51"/>
      <c r="BE576" s="51"/>
      <c r="BF576" s="51"/>
      <c r="BG576" s="51"/>
      <c r="BH576" s="51"/>
      <c r="BI576" s="51"/>
      <c r="BJ576" s="51"/>
      <c r="BK576" s="51"/>
      <c r="BL576" s="51"/>
      <c r="BM576" s="51"/>
      <c r="BN576" s="51"/>
      <c r="BO576" s="51"/>
      <c r="BP576" s="51"/>
      <c r="BQ576" s="51"/>
      <c r="BR576" s="51"/>
      <c r="BS576" s="51"/>
      <c r="BT576" s="51"/>
      <c r="BU576" s="51"/>
      <c r="BV576" s="51"/>
      <c r="BW576" s="51"/>
      <c r="BX576" s="51"/>
      <c r="BY576" s="51"/>
      <c r="BZ576" s="51"/>
      <c r="CA576" s="51"/>
      <c r="CB576" s="51"/>
      <c r="CC576" s="51"/>
      <c r="CD576" s="51"/>
      <c r="CE576" s="51"/>
      <c r="CF576" s="51"/>
      <c r="CG576" s="51"/>
    </row>
    <row r="577" ht="30.0"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c r="BA577" s="51"/>
      <c r="BB577" s="51"/>
      <c r="BC577" s="51"/>
      <c r="BD577" s="51"/>
      <c r="BE577" s="51"/>
      <c r="BF577" s="51"/>
      <c r="BG577" s="51"/>
      <c r="BH577" s="51"/>
      <c r="BI577" s="51"/>
      <c r="BJ577" s="51"/>
      <c r="BK577" s="51"/>
      <c r="BL577" s="51"/>
      <c r="BM577" s="51"/>
      <c r="BN577" s="51"/>
      <c r="BO577" s="51"/>
      <c r="BP577" s="51"/>
      <c r="BQ577" s="51"/>
      <c r="BR577" s="51"/>
      <c r="BS577" s="51"/>
      <c r="BT577" s="51"/>
      <c r="BU577" s="51"/>
      <c r="BV577" s="51"/>
      <c r="BW577" s="51"/>
      <c r="BX577" s="51"/>
      <c r="BY577" s="51"/>
      <c r="BZ577" s="51"/>
      <c r="CA577" s="51"/>
      <c r="CB577" s="51"/>
      <c r="CC577" s="51"/>
      <c r="CD577" s="51"/>
      <c r="CE577" s="51"/>
      <c r="CF577" s="51"/>
      <c r="CG577" s="51"/>
    </row>
    <row r="578" ht="30.0"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c r="BA578" s="51"/>
      <c r="BB578" s="51"/>
      <c r="BC578" s="51"/>
      <c r="BD578" s="51"/>
      <c r="BE578" s="51"/>
      <c r="BF578" s="51"/>
      <c r="BG578" s="51"/>
      <c r="BH578" s="51"/>
      <c r="BI578" s="51"/>
      <c r="BJ578" s="51"/>
      <c r="BK578" s="51"/>
      <c r="BL578" s="51"/>
      <c r="BM578" s="51"/>
      <c r="BN578" s="51"/>
      <c r="BO578" s="51"/>
      <c r="BP578" s="51"/>
      <c r="BQ578" s="51"/>
      <c r="BR578" s="51"/>
      <c r="BS578" s="51"/>
      <c r="BT578" s="51"/>
      <c r="BU578" s="51"/>
      <c r="BV578" s="51"/>
      <c r="BW578" s="51"/>
      <c r="BX578" s="51"/>
      <c r="BY578" s="51"/>
      <c r="BZ578" s="51"/>
      <c r="CA578" s="51"/>
      <c r="CB578" s="51"/>
      <c r="CC578" s="51"/>
      <c r="CD578" s="51"/>
      <c r="CE578" s="51"/>
      <c r="CF578" s="51"/>
      <c r="CG578" s="51"/>
    </row>
    <row r="579" ht="30.0"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c r="BA579" s="51"/>
      <c r="BB579" s="51"/>
      <c r="BC579" s="51"/>
      <c r="BD579" s="51"/>
      <c r="BE579" s="51"/>
      <c r="BF579" s="51"/>
      <c r="BG579" s="51"/>
      <c r="BH579" s="51"/>
      <c r="BI579" s="51"/>
      <c r="BJ579" s="51"/>
      <c r="BK579" s="51"/>
      <c r="BL579" s="51"/>
      <c r="BM579" s="51"/>
      <c r="BN579" s="51"/>
      <c r="BO579" s="51"/>
      <c r="BP579" s="51"/>
      <c r="BQ579" s="51"/>
      <c r="BR579" s="51"/>
      <c r="BS579" s="51"/>
      <c r="BT579" s="51"/>
      <c r="BU579" s="51"/>
      <c r="BV579" s="51"/>
      <c r="BW579" s="51"/>
      <c r="BX579" s="51"/>
      <c r="BY579" s="51"/>
      <c r="BZ579" s="51"/>
      <c r="CA579" s="51"/>
      <c r="CB579" s="51"/>
      <c r="CC579" s="51"/>
      <c r="CD579" s="51"/>
      <c r="CE579" s="51"/>
      <c r="CF579" s="51"/>
      <c r="CG579" s="51"/>
    </row>
    <row r="580" ht="30.0"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c r="BA580" s="51"/>
      <c r="BB580" s="51"/>
      <c r="BC580" s="51"/>
      <c r="BD580" s="51"/>
      <c r="BE580" s="51"/>
      <c r="BF580" s="51"/>
      <c r="BG580" s="51"/>
      <c r="BH580" s="51"/>
      <c r="BI580" s="51"/>
      <c r="BJ580" s="51"/>
      <c r="BK580" s="51"/>
      <c r="BL580" s="51"/>
      <c r="BM580" s="51"/>
      <c r="BN580" s="51"/>
      <c r="BO580" s="51"/>
      <c r="BP580" s="51"/>
      <c r="BQ580" s="51"/>
      <c r="BR580" s="51"/>
      <c r="BS580" s="51"/>
      <c r="BT580" s="51"/>
      <c r="BU580" s="51"/>
      <c r="BV580" s="51"/>
      <c r="BW580" s="51"/>
      <c r="BX580" s="51"/>
      <c r="BY580" s="51"/>
      <c r="BZ580" s="51"/>
      <c r="CA580" s="51"/>
      <c r="CB580" s="51"/>
      <c r="CC580" s="51"/>
      <c r="CD580" s="51"/>
      <c r="CE580" s="51"/>
      <c r="CF580" s="51"/>
      <c r="CG580" s="51"/>
    </row>
    <row r="581" ht="30.0"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c r="BA581" s="51"/>
      <c r="BB581" s="51"/>
      <c r="BC581" s="51"/>
      <c r="BD581" s="51"/>
      <c r="BE581" s="51"/>
      <c r="BF581" s="51"/>
      <c r="BG581" s="51"/>
      <c r="BH581" s="51"/>
      <c r="BI581" s="51"/>
      <c r="BJ581" s="51"/>
      <c r="BK581" s="51"/>
      <c r="BL581" s="51"/>
      <c r="BM581" s="51"/>
      <c r="BN581" s="51"/>
      <c r="BO581" s="51"/>
      <c r="BP581" s="51"/>
      <c r="BQ581" s="51"/>
      <c r="BR581" s="51"/>
      <c r="BS581" s="51"/>
      <c r="BT581" s="51"/>
      <c r="BU581" s="51"/>
      <c r="BV581" s="51"/>
      <c r="BW581" s="51"/>
      <c r="BX581" s="51"/>
      <c r="BY581" s="51"/>
      <c r="BZ581" s="51"/>
      <c r="CA581" s="51"/>
      <c r="CB581" s="51"/>
      <c r="CC581" s="51"/>
      <c r="CD581" s="51"/>
      <c r="CE581" s="51"/>
      <c r="CF581" s="51"/>
      <c r="CG581" s="51"/>
    </row>
    <row r="582" ht="30.0"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c r="BA582" s="51"/>
      <c r="BB582" s="51"/>
      <c r="BC582" s="51"/>
      <c r="BD582" s="51"/>
      <c r="BE582" s="51"/>
      <c r="BF582" s="51"/>
      <c r="BG582" s="51"/>
      <c r="BH582" s="51"/>
      <c r="BI582" s="51"/>
      <c r="BJ582" s="51"/>
      <c r="BK582" s="51"/>
      <c r="BL582" s="51"/>
      <c r="BM582" s="51"/>
      <c r="BN582" s="51"/>
      <c r="BO582" s="51"/>
      <c r="BP582" s="51"/>
      <c r="BQ582" s="51"/>
      <c r="BR582" s="51"/>
      <c r="BS582" s="51"/>
      <c r="BT582" s="51"/>
      <c r="BU582" s="51"/>
      <c r="BV582" s="51"/>
      <c r="BW582" s="51"/>
      <c r="BX582" s="51"/>
      <c r="BY582" s="51"/>
      <c r="BZ582" s="51"/>
      <c r="CA582" s="51"/>
      <c r="CB582" s="51"/>
      <c r="CC582" s="51"/>
      <c r="CD582" s="51"/>
      <c r="CE582" s="51"/>
      <c r="CF582" s="51"/>
      <c r="CG582" s="51"/>
    </row>
    <row r="583" ht="30.0"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c r="BA583" s="51"/>
      <c r="BB583" s="51"/>
      <c r="BC583" s="51"/>
      <c r="BD583" s="51"/>
      <c r="BE583" s="51"/>
      <c r="BF583" s="51"/>
      <c r="BG583" s="51"/>
      <c r="BH583" s="51"/>
      <c r="BI583" s="51"/>
      <c r="BJ583" s="51"/>
      <c r="BK583" s="51"/>
      <c r="BL583" s="51"/>
      <c r="BM583" s="51"/>
      <c r="BN583" s="51"/>
      <c r="BO583" s="51"/>
      <c r="BP583" s="51"/>
      <c r="BQ583" s="51"/>
      <c r="BR583" s="51"/>
      <c r="BS583" s="51"/>
      <c r="BT583" s="51"/>
      <c r="BU583" s="51"/>
      <c r="BV583" s="51"/>
      <c r="BW583" s="51"/>
      <c r="BX583" s="51"/>
      <c r="BY583" s="51"/>
      <c r="BZ583" s="51"/>
      <c r="CA583" s="51"/>
      <c r="CB583" s="51"/>
      <c r="CC583" s="51"/>
      <c r="CD583" s="51"/>
      <c r="CE583" s="51"/>
      <c r="CF583" s="51"/>
      <c r="CG583" s="51"/>
    </row>
    <row r="584" ht="30.0"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c r="BA584" s="51"/>
      <c r="BB584" s="51"/>
      <c r="BC584" s="51"/>
      <c r="BD584" s="51"/>
      <c r="BE584" s="51"/>
      <c r="BF584" s="51"/>
      <c r="BG584" s="51"/>
      <c r="BH584" s="51"/>
      <c r="BI584" s="51"/>
      <c r="BJ584" s="51"/>
      <c r="BK584" s="51"/>
      <c r="BL584" s="51"/>
      <c r="BM584" s="51"/>
      <c r="BN584" s="51"/>
      <c r="BO584" s="51"/>
      <c r="BP584" s="51"/>
      <c r="BQ584" s="51"/>
      <c r="BR584" s="51"/>
      <c r="BS584" s="51"/>
      <c r="BT584" s="51"/>
      <c r="BU584" s="51"/>
      <c r="BV584" s="51"/>
      <c r="BW584" s="51"/>
      <c r="BX584" s="51"/>
      <c r="BY584" s="51"/>
      <c r="BZ584" s="51"/>
      <c r="CA584" s="51"/>
      <c r="CB584" s="51"/>
      <c r="CC584" s="51"/>
      <c r="CD584" s="51"/>
      <c r="CE584" s="51"/>
      <c r="CF584" s="51"/>
      <c r="CG584" s="51"/>
    </row>
    <row r="585" ht="30.0"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c r="BA585" s="51"/>
      <c r="BB585" s="51"/>
      <c r="BC585" s="51"/>
      <c r="BD585" s="51"/>
      <c r="BE585" s="51"/>
      <c r="BF585" s="51"/>
      <c r="BG585" s="51"/>
      <c r="BH585" s="51"/>
      <c r="BI585" s="51"/>
      <c r="BJ585" s="51"/>
      <c r="BK585" s="51"/>
      <c r="BL585" s="51"/>
      <c r="BM585" s="51"/>
      <c r="BN585" s="51"/>
      <c r="BO585" s="51"/>
      <c r="BP585" s="51"/>
      <c r="BQ585" s="51"/>
      <c r="BR585" s="51"/>
      <c r="BS585" s="51"/>
      <c r="BT585" s="51"/>
      <c r="BU585" s="51"/>
      <c r="BV585" s="51"/>
      <c r="BW585" s="51"/>
      <c r="BX585" s="51"/>
      <c r="BY585" s="51"/>
      <c r="BZ585" s="51"/>
      <c r="CA585" s="51"/>
      <c r="CB585" s="51"/>
      <c r="CC585" s="51"/>
      <c r="CD585" s="51"/>
      <c r="CE585" s="51"/>
      <c r="CF585" s="51"/>
      <c r="CG585" s="51"/>
    </row>
    <row r="586" ht="30.0"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c r="BA586" s="51"/>
      <c r="BB586" s="51"/>
      <c r="BC586" s="51"/>
      <c r="BD586" s="51"/>
      <c r="BE586" s="51"/>
      <c r="BF586" s="51"/>
      <c r="BG586" s="51"/>
      <c r="BH586" s="51"/>
      <c r="BI586" s="51"/>
      <c r="BJ586" s="51"/>
      <c r="BK586" s="51"/>
      <c r="BL586" s="51"/>
      <c r="BM586" s="51"/>
      <c r="BN586" s="51"/>
      <c r="BO586" s="51"/>
      <c r="BP586" s="51"/>
      <c r="BQ586" s="51"/>
      <c r="BR586" s="51"/>
      <c r="BS586" s="51"/>
      <c r="BT586" s="51"/>
      <c r="BU586" s="51"/>
      <c r="BV586" s="51"/>
      <c r="BW586" s="51"/>
      <c r="BX586" s="51"/>
      <c r="BY586" s="51"/>
      <c r="BZ586" s="51"/>
      <c r="CA586" s="51"/>
      <c r="CB586" s="51"/>
      <c r="CC586" s="51"/>
      <c r="CD586" s="51"/>
      <c r="CE586" s="51"/>
      <c r="CF586" s="51"/>
      <c r="CG586" s="51"/>
    </row>
    <row r="587" ht="30.0"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c r="BA587" s="51"/>
      <c r="BB587" s="51"/>
      <c r="BC587" s="51"/>
      <c r="BD587" s="51"/>
      <c r="BE587" s="51"/>
      <c r="BF587" s="51"/>
      <c r="BG587" s="51"/>
      <c r="BH587" s="51"/>
      <c r="BI587" s="51"/>
      <c r="BJ587" s="51"/>
      <c r="BK587" s="51"/>
      <c r="BL587" s="51"/>
      <c r="BM587" s="51"/>
      <c r="BN587" s="51"/>
      <c r="BO587" s="51"/>
      <c r="BP587" s="51"/>
      <c r="BQ587" s="51"/>
      <c r="BR587" s="51"/>
      <c r="BS587" s="51"/>
      <c r="BT587" s="51"/>
      <c r="BU587" s="51"/>
      <c r="BV587" s="51"/>
      <c r="BW587" s="51"/>
      <c r="BX587" s="51"/>
      <c r="BY587" s="51"/>
      <c r="BZ587" s="51"/>
      <c r="CA587" s="51"/>
      <c r="CB587" s="51"/>
      <c r="CC587" s="51"/>
      <c r="CD587" s="51"/>
      <c r="CE587" s="51"/>
      <c r="CF587" s="51"/>
      <c r="CG587" s="51"/>
    </row>
    <row r="588" ht="30.0"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c r="BA588" s="51"/>
      <c r="BB588" s="51"/>
      <c r="BC588" s="51"/>
      <c r="BD588" s="51"/>
      <c r="BE588" s="51"/>
      <c r="BF588" s="51"/>
      <c r="BG588" s="51"/>
      <c r="BH588" s="51"/>
      <c r="BI588" s="51"/>
      <c r="BJ588" s="51"/>
      <c r="BK588" s="51"/>
      <c r="BL588" s="51"/>
      <c r="BM588" s="51"/>
      <c r="BN588" s="51"/>
      <c r="BO588" s="51"/>
      <c r="BP588" s="51"/>
      <c r="BQ588" s="51"/>
      <c r="BR588" s="51"/>
      <c r="BS588" s="51"/>
      <c r="BT588" s="51"/>
      <c r="BU588" s="51"/>
      <c r="BV588" s="51"/>
      <c r="BW588" s="51"/>
      <c r="BX588" s="51"/>
      <c r="BY588" s="51"/>
      <c r="BZ588" s="51"/>
      <c r="CA588" s="51"/>
      <c r="CB588" s="51"/>
      <c r="CC588" s="51"/>
      <c r="CD588" s="51"/>
      <c r="CE588" s="51"/>
      <c r="CF588" s="51"/>
      <c r="CG588" s="51"/>
    </row>
    <row r="589" ht="30.0"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c r="BA589" s="51"/>
      <c r="BB589" s="51"/>
      <c r="BC589" s="51"/>
      <c r="BD589" s="51"/>
      <c r="BE589" s="51"/>
      <c r="BF589" s="51"/>
      <c r="BG589" s="51"/>
      <c r="BH589" s="51"/>
      <c r="BI589" s="51"/>
      <c r="BJ589" s="51"/>
      <c r="BK589" s="51"/>
      <c r="BL589" s="51"/>
      <c r="BM589" s="51"/>
      <c r="BN589" s="51"/>
      <c r="BO589" s="51"/>
      <c r="BP589" s="51"/>
      <c r="BQ589" s="51"/>
      <c r="BR589" s="51"/>
      <c r="BS589" s="51"/>
      <c r="BT589" s="51"/>
      <c r="BU589" s="51"/>
      <c r="BV589" s="51"/>
      <c r="BW589" s="51"/>
      <c r="BX589" s="51"/>
      <c r="BY589" s="51"/>
      <c r="BZ589" s="51"/>
      <c r="CA589" s="51"/>
      <c r="CB589" s="51"/>
      <c r="CC589" s="51"/>
      <c r="CD589" s="51"/>
      <c r="CE589" s="51"/>
      <c r="CF589" s="51"/>
      <c r="CG589" s="51"/>
    </row>
    <row r="590" ht="30.0"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c r="BA590" s="51"/>
      <c r="BB590" s="51"/>
      <c r="BC590" s="51"/>
      <c r="BD590" s="51"/>
      <c r="BE590" s="51"/>
      <c r="BF590" s="51"/>
      <c r="BG590" s="51"/>
      <c r="BH590" s="51"/>
      <c r="BI590" s="51"/>
      <c r="BJ590" s="51"/>
      <c r="BK590" s="51"/>
      <c r="BL590" s="51"/>
      <c r="BM590" s="51"/>
      <c r="BN590" s="51"/>
      <c r="BO590" s="51"/>
      <c r="BP590" s="51"/>
      <c r="BQ590" s="51"/>
      <c r="BR590" s="51"/>
      <c r="BS590" s="51"/>
      <c r="BT590" s="51"/>
      <c r="BU590" s="51"/>
      <c r="BV590" s="51"/>
      <c r="BW590" s="51"/>
      <c r="BX590" s="51"/>
      <c r="BY590" s="51"/>
      <c r="BZ590" s="51"/>
      <c r="CA590" s="51"/>
      <c r="CB590" s="51"/>
      <c r="CC590" s="51"/>
      <c r="CD590" s="51"/>
      <c r="CE590" s="51"/>
      <c r="CF590" s="51"/>
      <c r="CG590" s="51"/>
    </row>
    <row r="591" ht="30.0"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c r="BA591" s="51"/>
      <c r="BB591" s="51"/>
      <c r="BC591" s="51"/>
      <c r="BD591" s="51"/>
      <c r="BE591" s="51"/>
      <c r="BF591" s="51"/>
      <c r="BG591" s="51"/>
      <c r="BH591" s="51"/>
      <c r="BI591" s="51"/>
      <c r="BJ591" s="51"/>
      <c r="BK591" s="51"/>
      <c r="BL591" s="51"/>
      <c r="BM591" s="51"/>
      <c r="BN591" s="51"/>
      <c r="BO591" s="51"/>
      <c r="BP591" s="51"/>
      <c r="BQ591" s="51"/>
      <c r="BR591" s="51"/>
      <c r="BS591" s="51"/>
      <c r="BT591" s="51"/>
      <c r="BU591" s="51"/>
      <c r="BV591" s="51"/>
      <c r="BW591" s="51"/>
      <c r="BX591" s="51"/>
      <c r="BY591" s="51"/>
      <c r="BZ591" s="51"/>
      <c r="CA591" s="51"/>
      <c r="CB591" s="51"/>
      <c r="CC591" s="51"/>
      <c r="CD591" s="51"/>
      <c r="CE591" s="51"/>
      <c r="CF591" s="51"/>
      <c r="CG591" s="51"/>
    </row>
    <row r="592" ht="30.0"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c r="BA592" s="51"/>
      <c r="BB592" s="51"/>
      <c r="BC592" s="51"/>
      <c r="BD592" s="51"/>
      <c r="BE592" s="51"/>
      <c r="BF592" s="51"/>
      <c r="BG592" s="51"/>
      <c r="BH592" s="51"/>
      <c r="BI592" s="51"/>
      <c r="BJ592" s="51"/>
      <c r="BK592" s="51"/>
      <c r="BL592" s="51"/>
      <c r="BM592" s="51"/>
      <c r="BN592" s="51"/>
      <c r="BO592" s="51"/>
      <c r="BP592" s="51"/>
      <c r="BQ592" s="51"/>
      <c r="BR592" s="51"/>
      <c r="BS592" s="51"/>
      <c r="BT592" s="51"/>
      <c r="BU592" s="51"/>
      <c r="BV592" s="51"/>
      <c r="BW592" s="51"/>
      <c r="BX592" s="51"/>
      <c r="BY592" s="51"/>
      <c r="BZ592" s="51"/>
      <c r="CA592" s="51"/>
      <c r="CB592" s="51"/>
      <c r="CC592" s="51"/>
      <c r="CD592" s="51"/>
      <c r="CE592" s="51"/>
      <c r="CF592" s="51"/>
      <c r="CG592" s="51"/>
    </row>
    <row r="593" ht="30.0"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c r="BA593" s="51"/>
      <c r="BB593" s="51"/>
      <c r="BC593" s="51"/>
      <c r="BD593" s="51"/>
      <c r="BE593" s="51"/>
      <c r="BF593" s="51"/>
      <c r="BG593" s="51"/>
      <c r="BH593" s="51"/>
      <c r="BI593" s="51"/>
      <c r="BJ593" s="51"/>
      <c r="BK593" s="51"/>
      <c r="BL593" s="51"/>
      <c r="BM593" s="51"/>
      <c r="BN593" s="51"/>
      <c r="BO593" s="51"/>
      <c r="BP593" s="51"/>
      <c r="BQ593" s="51"/>
      <c r="BR593" s="51"/>
      <c r="BS593" s="51"/>
      <c r="BT593" s="51"/>
      <c r="BU593" s="51"/>
      <c r="BV593" s="51"/>
      <c r="BW593" s="51"/>
      <c r="BX593" s="51"/>
      <c r="BY593" s="51"/>
      <c r="BZ593" s="51"/>
      <c r="CA593" s="51"/>
      <c r="CB593" s="51"/>
      <c r="CC593" s="51"/>
      <c r="CD593" s="51"/>
      <c r="CE593" s="51"/>
      <c r="CF593" s="51"/>
      <c r="CG593" s="51"/>
    </row>
    <row r="594" ht="30.0"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c r="BA594" s="51"/>
      <c r="BB594" s="51"/>
      <c r="BC594" s="51"/>
      <c r="BD594" s="51"/>
      <c r="BE594" s="51"/>
      <c r="BF594" s="51"/>
      <c r="BG594" s="51"/>
      <c r="BH594" s="51"/>
      <c r="BI594" s="51"/>
      <c r="BJ594" s="51"/>
      <c r="BK594" s="51"/>
      <c r="BL594" s="51"/>
      <c r="BM594" s="51"/>
      <c r="BN594" s="51"/>
      <c r="BO594" s="51"/>
      <c r="BP594" s="51"/>
      <c r="BQ594" s="51"/>
      <c r="BR594" s="51"/>
      <c r="BS594" s="51"/>
      <c r="BT594" s="51"/>
      <c r="BU594" s="51"/>
      <c r="BV594" s="51"/>
      <c r="BW594" s="51"/>
      <c r="BX594" s="51"/>
      <c r="BY594" s="51"/>
      <c r="BZ594" s="51"/>
      <c r="CA594" s="51"/>
      <c r="CB594" s="51"/>
      <c r="CC594" s="51"/>
      <c r="CD594" s="51"/>
      <c r="CE594" s="51"/>
      <c r="CF594" s="51"/>
      <c r="CG594" s="51"/>
    </row>
    <row r="595" ht="30.0"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c r="BA595" s="51"/>
      <c r="BB595" s="51"/>
      <c r="BC595" s="51"/>
      <c r="BD595" s="51"/>
      <c r="BE595" s="51"/>
      <c r="BF595" s="51"/>
      <c r="BG595" s="51"/>
      <c r="BH595" s="51"/>
      <c r="BI595" s="51"/>
      <c r="BJ595" s="51"/>
      <c r="BK595" s="51"/>
      <c r="BL595" s="51"/>
      <c r="BM595" s="51"/>
      <c r="BN595" s="51"/>
      <c r="BO595" s="51"/>
      <c r="BP595" s="51"/>
      <c r="BQ595" s="51"/>
      <c r="BR595" s="51"/>
      <c r="BS595" s="51"/>
      <c r="BT595" s="51"/>
      <c r="BU595" s="51"/>
      <c r="BV595" s="51"/>
      <c r="BW595" s="51"/>
      <c r="BX595" s="51"/>
      <c r="BY595" s="51"/>
      <c r="BZ595" s="51"/>
      <c r="CA595" s="51"/>
      <c r="CB595" s="51"/>
      <c r="CC595" s="51"/>
      <c r="CD595" s="51"/>
      <c r="CE595" s="51"/>
      <c r="CF595" s="51"/>
      <c r="CG595" s="51"/>
    </row>
    <row r="596" ht="30.0"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c r="BA596" s="51"/>
      <c r="BB596" s="51"/>
      <c r="BC596" s="51"/>
      <c r="BD596" s="51"/>
      <c r="BE596" s="51"/>
      <c r="BF596" s="51"/>
      <c r="BG596" s="51"/>
      <c r="BH596" s="51"/>
      <c r="BI596" s="51"/>
      <c r="BJ596" s="51"/>
      <c r="BK596" s="51"/>
      <c r="BL596" s="51"/>
      <c r="BM596" s="51"/>
      <c r="BN596" s="51"/>
      <c r="BO596" s="51"/>
      <c r="BP596" s="51"/>
      <c r="BQ596" s="51"/>
      <c r="BR596" s="51"/>
      <c r="BS596" s="51"/>
      <c r="BT596" s="51"/>
      <c r="BU596" s="51"/>
      <c r="BV596" s="51"/>
      <c r="BW596" s="51"/>
      <c r="BX596" s="51"/>
      <c r="BY596" s="51"/>
      <c r="BZ596" s="51"/>
      <c r="CA596" s="51"/>
      <c r="CB596" s="51"/>
      <c r="CC596" s="51"/>
      <c r="CD596" s="51"/>
      <c r="CE596" s="51"/>
      <c r="CF596" s="51"/>
      <c r="CG596" s="51"/>
    </row>
    <row r="597" ht="30.0"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c r="BA597" s="51"/>
      <c r="BB597" s="51"/>
      <c r="BC597" s="51"/>
      <c r="BD597" s="51"/>
      <c r="BE597" s="51"/>
      <c r="BF597" s="51"/>
      <c r="BG597" s="51"/>
      <c r="BH597" s="51"/>
      <c r="BI597" s="51"/>
      <c r="BJ597" s="51"/>
      <c r="BK597" s="51"/>
      <c r="BL597" s="51"/>
      <c r="BM597" s="51"/>
      <c r="BN597" s="51"/>
      <c r="BO597" s="51"/>
      <c r="BP597" s="51"/>
      <c r="BQ597" s="51"/>
      <c r="BR597" s="51"/>
      <c r="BS597" s="51"/>
      <c r="BT597" s="51"/>
      <c r="BU597" s="51"/>
      <c r="BV597" s="51"/>
      <c r="BW597" s="51"/>
      <c r="BX597" s="51"/>
      <c r="BY597" s="51"/>
      <c r="BZ597" s="51"/>
      <c r="CA597" s="51"/>
      <c r="CB597" s="51"/>
      <c r="CC597" s="51"/>
      <c r="CD597" s="51"/>
      <c r="CE597" s="51"/>
      <c r="CF597" s="51"/>
      <c r="CG597" s="51"/>
    </row>
    <row r="598" ht="30.0"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c r="BA598" s="51"/>
      <c r="BB598" s="51"/>
      <c r="BC598" s="51"/>
      <c r="BD598" s="51"/>
      <c r="BE598" s="51"/>
      <c r="BF598" s="51"/>
      <c r="BG598" s="51"/>
      <c r="BH598" s="51"/>
      <c r="BI598" s="51"/>
      <c r="BJ598" s="51"/>
      <c r="BK598" s="51"/>
      <c r="BL598" s="51"/>
      <c r="BM598" s="51"/>
      <c r="BN598" s="51"/>
      <c r="BO598" s="51"/>
      <c r="BP598" s="51"/>
      <c r="BQ598" s="51"/>
      <c r="BR598" s="51"/>
      <c r="BS598" s="51"/>
      <c r="BT598" s="51"/>
      <c r="BU598" s="51"/>
      <c r="BV598" s="51"/>
      <c r="BW598" s="51"/>
      <c r="BX598" s="51"/>
      <c r="BY598" s="51"/>
      <c r="BZ598" s="51"/>
      <c r="CA598" s="51"/>
      <c r="CB598" s="51"/>
      <c r="CC598" s="51"/>
      <c r="CD598" s="51"/>
      <c r="CE598" s="51"/>
      <c r="CF598" s="51"/>
      <c r="CG598" s="51"/>
    </row>
    <row r="599" ht="30.0"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c r="BA599" s="51"/>
      <c r="BB599" s="51"/>
      <c r="BC599" s="51"/>
      <c r="BD599" s="51"/>
      <c r="BE599" s="51"/>
      <c r="BF599" s="51"/>
      <c r="BG599" s="51"/>
      <c r="BH599" s="51"/>
      <c r="BI599" s="51"/>
      <c r="BJ599" s="51"/>
      <c r="BK599" s="51"/>
      <c r="BL599" s="51"/>
      <c r="BM599" s="51"/>
      <c r="BN599" s="51"/>
      <c r="BO599" s="51"/>
      <c r="BP599" s="51"/>
      <c r="BQ599" s="51"/>
      <c r="BR599" s="51"/>
      <c r="BS599" s="51"/>
      <c r="BT599" s="51"/>
      <c r="BU599" s="51"/>
      <c r="BV599" s="51"/>
      <c r="BW599" s="51"/>
      <c r="BX599" s="51"/>
      <c r="BY599" s="51"/>
      <c r="BZ599" s="51"/>
      <c r="CA599" s="51"/>
      <c r="CB599" s="51"/>
      <c r="CC599" s="51"/>
      <c r="CD599" s="51"/>
      <c r="CE599" s="51"/>
      <c r="CF599" s="51"/>
      <c r="CG599" s="51"/>
    </row>
    <row r="600" ht="30.0"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c r="BA600" s="51"/>
      <c r="BB600" s="51"/>
      <c r="BC600" s="51"/>
      <c r="BD600" s="51"/>
      <c r="BE600" s="51"/>
      <c r="BF600" s="51"/>
      <c r="BG600" s="51"/>
      <c r="BH600" s="51"/>
      <c r="BI600" s="51"/>
      <c r="BJ600" s="51"/>
      <c r="BK600" s="51"/>
      <c r="BL600" s="51"/>
      <c r="BM600" s="51"/>
      <c r="BN600" s="51"/>
      <c r="BO600" s="51"/>
      <c r="BP600" s="51"/>
      <c r="BQ600" s="51"/>
      <c r="BR600" s="51"/>
      <c r="BS600" s="51"/>
      <c r="BT600" s="51"/>
      <c r="BU600" s="51"/>
      <c r="BV600" s="51"/>
      <c r="BW600" s="51"/>
      <c r="BX600" s="51"/>
      <c r="BY600" s="51"/>
      <c r="BZ600" s="51"/>
      <c r="CA600" s="51"/>
      <c r="CB600" s="51"/>
      <c r="CC600" s="51"/>
      <c r="CD600" s="51"/>
      <c r="CE600" s="51"/>
      <c r="CF600" s="51"/>
      <c r="CG600" s="51"/>
    </row>
    <row r="601" ht="30.0"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c r="BA601" s="51"/>
      <c r="BB601" s="51"/>
      <c r="BC601" s="51"/>
      <c r="BD601" s="51"/>
      <c r="BE601" s="51"/>
      <c r="BF601" s="51"/>
      <c r="BG601" s="51"/>
      <c r="BH601" s="51"/>
      <c r="BI601" s="51"/>
      <c r="BJ601" s="51"/>
      <c r="BK601" s="51"/>
      <c r="BL601" s="51"/>
      <c r="BM601" s="51"/>
      <c r="BN601" s="51"/>
      <c r="BO601" s="51"/>
      <c r="BP601" s="51"/>
      <c r="BQ601" s="51"/>
      <c r="BR601" s="51"/>
      <c r="BS601" s="51"/>
      <c r="BT601" s="51"/>
      <c r="BU601" s="51"/>
      <c r="BV601" s="51"/>
      <c r="BW601" s="51"/>
      <c r="BX601" s="51"/>
      <c r="BY601" s="51"/>
      <c r="BZ601" s="51"/>
      <c r="CA601" s="51"/>
      <c r="CB601" s="51"/>
      <c r="CC601" s="51"/>
      <c r="CD601" s="51"/>
      <c r="CE601" s="51"/>
      <c r="CF601" s="51"/>
      <c r="CG601" s="51"/>
    </row>
    <row r="602" ht="30.0"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c r="BA602" s="51"/>
      <c r="BB602" s="51"/>
      <c r="BC602" s="51"/>
      <c r="BD602" s="51"/>
      <c r="BE602" s="51"/>
      <c r="BF602" s="51"/>
      <c r="BG602" s="51"/>
      <c r="BH602" s="51"/>
      <c r="BI602" s="51"/>
      <c r="BJ602" s="51"/>
      <c r="BK602" s="51"/>
      <c r="BL602" s="51"/>
      <c r="BM602" s="51"/>
      <c r="BN602" s="51"/>
      <c r="BO602" s="51"/>
      <c r="BP602" s="51"/>
      <c r="BQ602" s="51"/>
      <c r="BR602" s="51"/>
      <c r="BS602" s="51"/>
      <c r="BT602" s="51"/>
      <c r="BU602" s="51"/>
      <c r="BV602" s="51"/>
      <c r="BW602" s="51"/>
      <c r="BX602" s="51"/>
      <c r="BY602" s="51"/>
      <c r="BZ602" s="51"/>
      <c r="CA602" s="51"/>
      <c r="CB602" s="51"/>
      <c r="CC602" s="51"/>
      <c r="CD602" s="51"/>
      <c r="CE602" s="51"/>
      <c r="CF602" s="51"/>
      <c r="CG602" s="51"/>
    </row>
    <row r="603" ht="30.0"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c r="BA603" s="51"/>
      <c r="BB603" s="51"/>
      <c r="BC603" s="51"/>
      <c r="BD603" s="51"/>
      <c r="BE603" s="51"/>
      <c r="BF603" s="51"/>
      <c r="BG603" s="51"/>
      <c r="BH603" s="51"/>
      <c r="BI603" s="51"/>
      <c r="BJ603" s="51"/>
      <c r="BK603" s="51"/>
      <c r="BL603" s="51"/>
      <c r="BM603" s="51"/>
      <c r="BN603" s="51"/>
      <c r="BO603" s="51"/>
      <c r="BP603" s="51"/>
      <c r="BQ603" s="51"/>
      <c r="BR603" s="51"/>
      <c r="BS603" s="51"/>
      <c r="BT603" s="51"/>
      <c r="BU603" s="51"/>
      <c r="BV603" s="51"/>
      <c r="BW603" s="51"/>
      <c r="BX603" s="51"/>
      <c r="BY603" s="51"/>
      <c r="BZ603" s="51"/>
      <c r="CA603" s="51"/>
      <c r="CB603" s="51"/>
      <c r="CC603" s="51"/>
      <c r="CD603" s="51"/>
      <c r="CE603" s="51"/>
      <c r="CF603" s="51"/>
      <c r="CG603" s="51"/>
    </row>
    <row r="604" ht="30.0"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c r="BA604" s="51"/>
      <c r="BB604" s="51"/>
      <c r="BC604" s="51"/>
      <c r="BD604" s="51"/>
      <c r="BE604" s="51"/>
      <c r="BF604" s="51"/>
      <c r="BG604" s="51"/>
      <c r="BH604" s="51"/>
      <c r="BI604" s="51"/>
      <c r="BJ604" s="51"/>
      <c r="BK604" s="51"/>
      <c r="BL604" s="51"/>
      <c r="BM604" s="51"/>
      <c r="BN604" s="51"/>
      <c r="BO604" s="51"/>
      <c r="BP604" s="51"/>
      <c r="BQ604" s="51"/>
      <c r="BR604" s="51"/>
      <c r="BS604" s="51"/>
      <c r="BT604" s="51"/>
      <c r="BU604" s="51"/>
      <c r="BV604" s="51"/>
      <c r="BW604" s="51"/>
      <c r="BX604" s="51"/>
      <c r="BY604" s="51"/>
      <c r="BZ604" s="51"/>
      <c r="CA604" s="51"/>
      <c r="CB604" s="51"/>
      <c r="CC604" s="51"/>
      <c r="CD604" s="51"/>
      <c r="CE604" s="51"/>
      <c r="CF604" s="51"/>
      <c r="CG604" s="51"/>
    </row>
    <row r="605" ht="30.0"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c r="BA605" s="51"/>
      <c r="BB605" s="51"/>
      <c r="BC605" s="51"/>
      <c r="BD605" s="51"/>
      <c r="BE605" s="51"/>
      <c r="BF605" s="51"/>
      <c r="BG605" s="51"/>
      <c r="BH605" s="51"/>
      <c r="BI605" s="51"/>
      <c r="BJ605" s="51"/>
      <c r="BK605" s="51"/>
      <c r="BL605" s="51"/>
      <c r="BM605" s="51"/>
      <c r="BN605" s="51"/>
      <c r="BO605" s="51"/>
      <c r="BP605" s="51"/>
      <c r="BQ605" s="51"/>
      <c r="BR605" s="51"/>
      <c r="BS605" s="51"/>
      <c r="BT605" s="51"/>
      <c r="BU605" s="51"/>
      <c r="BV605" s="51"/>
      <c r="BW605" s="51"/>
      <c r="BX605" s="51"/>
      <c r="BY605" s="51"/>
      <c r="BZ605" s="51"/>
      <c r="CA605" s="51"/>
      <c r="CB605" s="51"/>
      <c r="CC605" s="51"/>
      <c r="CD605" s="51"/>
      <c r="CE605" s="51"/>
      <c r="CF605" s="51"/>
      <c r="CG605" s="51"/>
    </row>
    <row r="606" ht="30.0"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c r="BA606" s="51"/>
      <c r="BB606" s="51"/>
      <c r="BC606" s="51"/>
      <c r="BD606" s="51"/>
      <c r="BE606" s="51"/>
      <c r="BF606" s="51"/>
      <c r="BG606" s="51"/>
      <c r="BH606" s="51"/>
      <c r="BI606" s="51"/>
      <c r="BJ606" s="51"/>
      <c r="BK606" s="51"/>
      <c r="BL606" s="51"/>
      <c r="BM606" s="51"/>
      <c r="BN606" s="51"/>
      <c r="BO606" s="51"/>
      <c r="BP606" s="51"/>
      <c r="BQ606" s="51"/>
      <c r="BR606" s="51"/>
      <c r="BS606" s="51"/>
      <c r="BT606" s="51"/>
      <c r="BU606" s="51"/>
      <c r="BV606" s="51"/>
      <c r="BW606" s="51"/>
      <c r="BX606" s="51"/>
      <c r="BY606" s="51"/>
      <c r="BZ606" s="51"/>
      <c r="CA606" s="51"/>
      <c r="CB606" s="51"/>
      <c r="CC606" s="51"/>
      <c r="CD606" s="51"/>
      <c r="CE606" s="51"/>
      <c r="CF606" s="51"/>
      <c r="CG606" s="51"/>
    </row>
    <row r="607" ht="30.0"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c r="BA607" s="51"/>
      <c r="BB607" s="51"/>
      <c r="BC607" s="51"/>
      <c r="BD607" s="51"/>
      <c r="BE607" s="51"/>
      <c r="BF607" s="51"/>
      <c r="BG607" s="51"/>
      <c r="BH607" s="51"/>
      <c r="BI607" s="51"/>
      <c r="BJ607" s="51"/>
      <c r="BK607" s="51"/>
      <c r="BL607" s="51"/>
      <c r="BM607" s="51"/>
      <c r="BN607" s="51"/>
      <c r="BO607" s="51"/>
      <c r="BP607" s="51"/>
      <c r="BQ607" s="51"/>
      <c r="BR607" s="51"/>
      <c r="BS607" s="51"/>
      <c r="BT607" s="51"/>
      <c r="BU607" s="51"/>
      <c r="BV607" s="51"/>
      <c r="BW607" s="51"/>
      <c r="BX607" s="51"/>
      <c r="BY607" s="51"/>
      <c r="BZ607" s="51"/>
      <c r="CA607" s="51"/>
      <c r="CB607" s="51"/>
      <c r="CC607" s="51"/>
      <c r="CD607" s="51"/>
      <c r="CE607" s="51"/>
      <c r="CF607" s="51"/>
      <c r="CG607" s="51"/>
    </row>
    <row r="608" ht="30.0"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c r="BA608" s="51"/>
      <c r="BB608" s="51"/>
      <c r="BC608" s="51"/>
      <c r="BD608" s="51"/>
      <c r="BE608" s="51"/>
      <c r="BF608" s="51"/>
      <c r="BG608" s="51"/>
      <c r="BH608" s="51"/>
      <c r="BI608" s="51"/>
      <c r="BJ608" s="51"/>
      <c r="BK608" s="51"/>
      <c r="BL608" s="51"/>
      <c r="BM608" s="51"/>
      <c r="BN608" s="51"/>
      <c r="BO608" s="51"/>
      <c r="BP608" s="51"/>
      <c r="BQ608" s="51"/>
      <c r="BR608" s="51"/>
      <c r="BS608" s="51"/>
      <c r="BT608" s="51"/>
      <c r="BU608" s="51"/>
      <c r="BV608" s="51"/>
      <c r="BW608" s="51"/>
      <c r="BX608" s="51"/>
      <c r="BY608" s="51"/>
      <c r="BZ608" s="51"/>
      <c r="CA608" s="51"/>
      <c r="CB608" s="51"/>
      <c r="CC608" s="51"/>
      <c r="CD608" s="51"/>
      <c r="CE608" s="51"/>
      <c r="CF608" s="51"/>
      <c r="CG608" s="51"/>
    </row>
    <row r="609" ht="30.0"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c r="BA609" s="51"/>
      <c r="BB609" s="51"/>
      <c r="BC609" s="51"/>
      <c r="BD609" s="51"/>
      <c r="BE609" s="51"/>
      <c r="BF609" s="51"/>
      <c r="BG609" s="51"/>
      <c r="BH609" s="51"/>
      <c r="BI609" s="51"/>
      <c r="BJ609" s="51"/>
      <c r="BK609" s="51"/>
      <c r="BL609" s="51"/>
      <c r="BM609" s="51"/>
      <c r="BN609" s="51"/>
      <c r="BO609" s="51"/>
      <c r="BP609" s="51"/>
      <c r="BQ609" s="51"/>
      <c r="BR609" s="51"/>
      <c r="BS609" s="51"/>
      <c r="BT609" s="51"/>
      <c r="BU609" s="51"/>
      <c r="BV609" s="51"/>
      <c r="BW609" s="51"/>
      <c r="BX609" s="51"/>
      <c r="BY609" s="51"/>
      <c r="BZ609" s="51"/>
      <c r="CA609" s="51"/>
      <c r="CB609" s="51"/>
      <c r="CC609" s="51"/>
      <c r="CD609" s="51"/>
      <c r="CE609" s="51"/>
      <c r="CF609" s="51"/>
      <c r="CG609" s="51"/>
    </row>
    <row r="610" ht="30.0"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c r="BA610" s="51"/>
      <c r="BB610" s="51"/>
      <c r="BC610" s="51"/>
      <c r="BD610" s="51"/>
      <c r="BE610" s="51"/>
      <c r="BF610" s="51"/>
      <c r="BG610" s="51"/>
      <c r="BH610" s="51"/>
      <c r="BI610" s="51"/>
      <c r="BJ610" s="51"/>
      <c r="BK610" s="51"/>
      <c r="BL610" s="51"/>
      <c r="BM610" s="51"/>
      <c r="BN610" s="51"/>
      <c r="BO610" s="51"/>
      <c r="BP610" s="51"/>
      <c r="BQ610" s="51"/>
      <c r="BR610" s="51"/>
      <c r="BS610" s="51"/>
      <c r="BT610" s="51"/>
      <c r="BU610" s="51"/>
      <c r="BV610" s="51"/>
      <c r="BW610" s="51"/>
      <c r="BX610" s="51"/>
      <c r="BY610" s="51"/>
      <c r="BZ610" s="51"/>
      <c r="CA610" s="51"/>
      <c r="CB610" s="51"/>
      <c r="CC610" s="51"/>
      <c r="CD610" s="51"/>
      <c r="CE610" s="51"/>
      <c r="CF610" s="51"/>
      <c r="CG610" s="51"/>
    </row>
    <row r="611" ht="30.0"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c r="BA611" s="51"/>
      <c r="BB611" s="51"/>
      <c r="BC611" s="51"/>
      <c r="BD611" s="51"/>
      <c r="BE611" s="51"/>
      <c r="BF611" s="51"/>
      <c r="BG611" s="51"/>
      <c r="BH611" s="51"/>
      <c r="BI611" s="51"/>
      <c r="BJ611" s="51"/>
      <c r="BK611" s="51"/>
      <c r="BL611" s="51"/>
      <c r="BM611" s="51"/>
      <c r="BN611" s="51"/>
      <c r="BO611" s="51"/>
      <c r="BP611" s="51"/>
      <c r="BQ611" s="51"/>
      <c r="BR611" s="51"/>
      <c r="BS611" s="51"/>
      <c r="BT611" s="51"/>
      <c r="BU611" s="51"/>
      <c r="BV611" s="51"/>
      <c r="BW611" s="51"/>
      <c r="BX611" s="51"/>
      <c r="BY611" s="51"/>
      <c r="BZ611" s="51"/>
      <c r="CA611" s="51"/>
      <c r="CB611" s="51"/>
      <c r="CC611" s="51"/>
      <c r="CD611" s="51"/>
      <c r="CE611" s="51"/>
      <c r="CF611" s="51"/>
      <c r="CG611" s="51"/>
    </row>
    <row r="612" ht="30.0"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c r="BA612" s="51"/>
      <c r="BB612" s="51"/>
      <c r="BC612" s="51"/>
      <c r="BD612" s="51"/>
      <c r="BE612" s="51"/>
      <c r="BF612" s="51"/>
      <c r="BG612" s="51"/>
      <c r="BH612" s="51"/>
      <c r="BI612" s="51"/>
      <c r="BJ612" s="51"/>
      <c r="BK612" s="51"/>
      <c r="BL612" s="51"/>
      <c r="BM612" s="51"/>
      <c r="BN612" s="51"/>
      <c r="BO612" s="51"/>
      <c r="BP612" s="51"/>
      <c r="BQ612" s="51"/>
      <c r="BR612" s="51"/>
      <c r="BS612" s="51"/>
      <c r="BT612" s="51"/>
      <c r="BU612" s="51"/>
      <c r="BV612" s="51"/>
      <c r="BW612" s="51"/>
      <c r="BX612" s="51"/>
      <c r="BY612" s="51"/>
      <c r="BZ612" s="51"/>
      <c r="CA612" s="51"/>
      <c r="CB612" s="51"/>
      <c r="CC612" s="51"/>
      <c r="CD612" s="51"/>
      <c r="CE612" s="51"/>
      <c r="CF612" s="51"/>
      <c r="CG612" s="51"/>
    </row>
    <row r="613" ht="30.0"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c r="BA613" s="51"/>
      <c r="BB613" s="51"/>
      <c r="BC613" s="51"/>
      <c r="BD613" s="51"/>
      <c r="BE613" s="51"/>
      <c r="BF613" s="51"/>
      <c r="BG613" s="51"/>
      <c r="BH613" s="51"/>
      <c r="BI613" s="51"/>
      <c r="BJ613" s="51"/>
      <c r="BK613" s="51"/>
      <c r="BL613" s="51"/>
      <c r="BM613" s="51"/>
      <c r="BN613" s="51"/>
      <c r="BO613" s="51"/>
      <c r="BP613" s="51"/>
      <c r="BQ613" s="51"/>
      <c r="BR613" s="51"/>
      <c r="BS613" s="51"/>
      <c r="BT613" s="51"/>
      <c r="BU613" s="51"/>
      <c r="BV613" s="51"/>
      <c r="BW613" s="51"/>
      <c r="BX613" s="51"/>
      <c r="BY613" s="51"/>
      <c r="BZ613" s="51"/>
      <c r="CA613" s="51"/>
      <c r="CB613" s="51"/>
      <c r="CC613" s="51"/>
      <c r="CD613" s="51"/>
      <c r="CE613" s="51"/>
      <c r="CF613" s="51"/>
      <c r="CG613" s="51"/>
    </row>
    <row r="614" ht="30.0"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c r="BA614" s="51"/>
      <c r="BB614" s="51"/>
      <c r="BC614" s="51"/>
      <c r="BD614" s="51"/>
      <c r="BE614" s="51"/>
      <c r="BF614" s="51"/>
      <c r="BG614" s="51"/>
      <c r="BH614" s="51"/>
      <c r="BI614" s="51"/>
      <c r="BJ614" s="51"/>
      <c r="BK614" s="51"/>
      <c r="BL614" s="51"/>
      <c r="BM614" s="51"/>
      <c r="BN614" s="51"/>
      <c r="BO614" s="51"/>
      <c r="BP614" s="51"/>
      <c r="BQ614" s="51"/>
      <c r="BR614" s="51"/>
      <c r="BS614" s="51"/>
      <c r="BT614" s="51"/>
      <c r="BU614" s="51"/>
      <c r="BV614" s="51"/>
      <c r="BW614" s="51"/>
      <c r="BX614" s="51"/>
      <c r="BY614" s="51"/>
      <c r="BZ614" s="51"/>
      <c r="CA614" s="51"/>
      <c r="CB614" s="51"/>
      <c r="CC614" s="51"/>
      <c r="CD614" s="51"/>
      <c r="CE614" s="51"/>
      <c r="CF614" s="51"/>
      <c r="CG614" s="51"/>
    </row>
    <row r="615" ht="30.0"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c r="BA615" s="51"/>
      <c r="BB615" s="51"/>
      <c r="BC615" s="51"/>
      <c r="BD615" s="51"/>
      <c r="BE615" s="51"/>
      <c r="BF615" s="51"/>
      <c r="BG615" s="51"/>
      <c r="BH615" s="51"/>
      <c r="BI615" s="51"/>
      <c r="BJ615" s="51"/>
      <c r="BK615" s="51"/>
      <c r="BL615" s="51"/>
      <c r="BM615" s="51"/>
      <c r="BN615" s="51"/>
      <c r="BO615" s="51"/>
      <c r="BP615" s="51"/>
      <c r="BQ615" s="51"/>
      <c r="BR615" s="51"/>
      <c r="BS615" s="51"/>
      <c r="BT615" s="51"/>
      <c r="BU615" s="51"/>
      <c r="BV615" s="51"/>
      <c r="BW615" s="51"/>
      <c r="BX615" s="51"/>
      <c r="BY615" s="51"/>
      <c r="BZ615" s="51"/>
      <c r="CA615" s="51"/>
      <c r="CB615" s="51"/>
      <c r="CC615" s="51"/>
      <c r="CD615" s="51"/>
      <c r="CE615" s="51"/>
      <c r="CF615" s="51"/>
      <c r="CG615" s="51"/>
    </row>
    <row r="616" ht="30.0"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c r="BA616" s="51"/>
      <c r="BB616" s="51"/>
      <c r="BC616" s="51"/>
      <c r="BD616" s="51"/>
      <c r="BE616" s="51"/>
      <c r="BF616" s="51"/>
      <c r="BG616" s="51"/>
      <c r="BH616" s="51"/>
      <c r="BI616" s="51"/>
      <c r="BJ616" s="51"/>
      <c r="BK616" s="51"/>
      <c r="BL616" s="51"/>
      <c r="BM616" s="51"/>
      <c r="BN616" s="51"/>
      <c r="BO616" s="51"/>
      <c r="BP616" s="51"/>
      <c r="BQ616" s="51"/>
      <c r="BR616" s="51"/>
      <c r="BS616" s="51"/>
      <c r="BT616" s="51"/>
      <c r="BU616" s="51"/>
      <c r="BV616" s="51"/>
      <c r="BW616" s="51"/>
      <c r="BX616" s="51"/>
      <c r="BY616" s="51"/>
      <c r="BZ616" s="51"/>
      <c r="CA616" s="51"/>
      <c r="CB616" s="51"/>
      <c r="CC616" s="51"/>
      <c r="CD616" s="51"/>
      <c r="CE616" s="51"/>
      <c r="CF616" s="51"/>
      <c r="CG616" s="51"/>
    </row>
    <row r="617" ht="30.0"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c r="BA617" s="51"/>
      <c r="BB617" s="51"/>
      <c r="BC617" s="51"/>
      <c r="BD617" s="51"/>
      <c r="BE617" s="51"/>
      <c r="BF617" s="51"/>
      <c r="BG617" s="51"/>
      <c r="BH617" s="51"/>
      <c r="BI617" s="51"/>
      <c r="BJ617" s="51"/>
      <c r="BK617" s="51"/>
      <c r="BL617" s="51"/>
      <c r="BM617" s="51"/>
      <c r="BN617" s="51"/>
      <c r="BO617" s="51"/>
      <c r="BP617" s="51"/>
      <c r="BQ617" s="51"/>
      <c r="BR617" s="51"/>
      <c r="BS617" s="51"/>
      <c r="BT617" s="51"/>
      <c r="BU617" s="51"/>
      <c r="BV617" s="51"/>
      <c r="BW617" s="51"/>
      <c r="BX617" s="51"/>
      <c r="BY617" s="51"/>
      <c r="BZ617" s="51"/>
      <c r="CA617" s="51"/>
      <c r="CB617" s="51"/>
      <c r="CC617" s="51"/>
      <c r="CD617" s="51"/>
      <c r="CE617" s="51"/>
      <c r="CF617" s="51"/>
      <c r="CG617" s="51"/>
    </row>
    <row r="618" ht="30.0"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c r="BA618" s="51"/>
      <c r="BB618" s="51"/>
      <c r="BC618" s="51"/>
      <c r="BD618" s="51"/>
      <c r="BE618" s="51"/>
      <c r="BF618" s="51"/>
      <c r="BG618" s="51"/>
      <c r="BH618" s="51"/>
      <c r="BI618" s="51"/>
      <c r="BJ618" s="51"/>
      <c r="BK618" s="51"/>
      <c r="BL618" s="51"/>
      <c r="BM618" s="51"/>
      <c r="BN618" s="51"/>
      <c r="BO618" s="51"/>
      <c r="BP618" s="51"/>
      <c r="BQ618" s="51"/>
      <c r="BR618" s="51"/>
      <c r="BS618" s="51"/>
      <c r="BT618" s="51"/>
      <c r="BU618" s="51"/>
      <c r="BV618" s="51"/>
      <c r="BW618" s="51"/>
      <c r="BX618" s="51"/>
      <c r="BY618" s="51"/>
      <c r="BZ618" s="51"/>
      <c r="CA618" s="51"/>
      <c r="CB618" s="51"/>
      <c r="CC618" s="51"/>
      <c r="CD618" s="51"/>
      <c r="CE618" s="51"/>
      <c r="CF618" s="51"/>
      <c r="CG618" s="51"/>
    </row>
    <row r="619" ht="30.0"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c r="BA619" s="51"/>
      <c r="BB619" s="51"/>
      <c r="BC619" s="51"/>
      <c r="BD619" s="51"/>
      <c r="BE619" s="51"/>
      <c r="BF619" s="51"/>
      <c r="BG619" s="51"/>
      <c r="BH619" s="51"/>
      <c r="BI619" s="51"/>
      <c r="BJ619" s="51"/>
      <c r="BK619" s="51"/>
      <c r="BL619" s="51"/>
      <c r="BM619" s="51"/>
      <c r="BN619" s="51"/>
      <c r="BO619" s="51"/>
      <c r="BP619" s="51"/>
      <c r="BQ619" s="51"/>
      <c r="BR619" s="51"/>
      <c r="BS619" s="51"/>
      <c r="BT619" s="51"/>
      <c r="BU619" s="51"/>
      <c r="BV619" s="51"/>
      <c r="BW619" s="51"/>
      <c r="BX619" s="51"/>
      <c r="BY619" s="51"/>
      <c r="BZ619" s="51"/>
      <c r="CA619" s="51"/>
      <c r="CB619" s="51"/>
      <c r="CC619" s="51"/>
      <c r="CD619" s="51"/>
      <c r="CE619" s="51"/>
      <c r="CF619" s="51"/>
      <c r="CG619" s="51"/>
    </row>
    <row r="620" ht="30.0"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c r="BA620" s="51"/>
      <c r="BB620" s="51"/>
      <c r="BC620" s="51"/>
      <c r="BD620" s="51"/>
      <c r="BE620" s="51"/>
      <c r="BF620" s="51"/>
      <c r="BG620" s="51"/>
      <c r="BH620" s="51"/>
      <c r="BI620" s="51"/>
      <c r="BJ620" s="51"/>
      <c r="BK620" s="51"/>
      <c r="BL620" s="51"/>
      <c r="BM620" s="51"/>
      <c r="BN620" s="51"/>
      <c r="BO620" s="51"/>
      <c r="BP620" s="51"/>
      <c r="BQ620" s="51"/>
      <c r="BR620" s="51"/>
      <c r="BS620" s="51"/>
      <c r="BT620" s="51"/>
      <c r="BU620" s="51"/>
      <c r="BV620" s="51"/>
      <c r="BW620" s="51"/>
      <c r="BX620" s="51"/>
      <c r="BY620" s="51"/>
      <c r="BZ620" s="51"/>
      <c r="CA620" s="51"/>
      <c r="CB620" s="51"/>
      <c r="CC620" s="51"/>
      <c r="CD620" s="51"/>
      <c r="CE620" s="51"/>
      <c r="CF620" s="51"/>
      <c r="CG620" s="51"/>
    </row>
    <row r="621" ht="30.0"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c r="BA621" s="51"/>
      <c r="BB621" s="51"/>
      <c r="BC621" s="51"/>
      <c r="BD621" s="51"/>
      <c r="BE621" s="51"/>
      <c r="BF621" s="51"/>
      <c r="BG621" s="51"/>
      <c r="BH621" s="51"/>
      <c r="BI621" s="51"/>
      <c r="BJ621" s="51"/>
      <c r="BK621" s="51"/>
      <c r="BL621" s="51"/>
      <c r="BM621" s="51"/>
      <c r="BN621" s="51"/>
      <c r="BO621" s="51"/>
      <c r="BP621" s="51"/>
      <c r="BQ621" s="51"/>
      <c r="BR621" s="51"/>
      <c r="BS621" s="51"/>
      <c r="BT621" s="51"/>
      <c r="BU621" s="51"/>
      <c r="BV621" s="51"/>
      <c r="BW621" s="51"/>
      <c r="BX621" s="51"/>
      <c r="BY621" s="51"/>
      <c r="BZ621" s="51"/>
      <c r="CA621" s="51"/>
      <c r="CB621" s="51"/>
      <c r="CC621" s="51"/>
      <c r="CD621" s="51"/>
      <c r="CE621" s="51"/>
      <c r="CF621" s="51"/>
      <c r="CG621" s="51"/>
    </row>
    <row r="622" ht="30.0"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c r="BA622" s="51"/>
      <c r="BB622" s="51"/>
      <c r="BC622" s="51"/>
      <c r="BD622" s="51"/>
      <c r="BE622" s="51"/>
      <c r="BF622" s="51"/>
      <c r="BG622" s="51"/>
      <c r="BH622" s="51"/>
      <c r="BI622" s="51"/>
      <c r="BJ622" s="51"/>
      <c r="BK622" s="51"/>
      <c r="BL622" s="51"/>
      <c r="BM622" s="51"/>
      <c r="BN622" s="51"/>
      <c r="BO622" s="51"/>
      <c r="BP622" s="51"/>
      <c r="BQ622" s="51"/>
      <c r="BR622" s="51"/>
      <c r="BS622" s="51"/>
      <c r="BT622" s="51"/>
      <c r="BU622" s="51"/>
      <c r="BV622" s="51"/>
      <c r="BW622" s="51"/>
      <c r="BX622" s="51"/>
      <c r="BY622" s="51"/>
      <c r="BZ622" s="51"/>
      <c r="CA622" s="51"/>
      <c r="CB622" s="51"/>
      <c r="CC622" s="51"/>
      <c r="CD622" s="51"/>
      <c r="CE622" s="51"/>
      <c r="CF622" s="51"/>
      <c r="CG622" s="51"/>
    </row>
    <row r="623" ht="30.0"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c r="BA623" s="51"/>
      <c r="BB623" s="51"/>
      <c r="BC623" s="51"/>
      <c r="BD623" s="51"/>
      <c r="BE623" s="51"/>
      <c r="BF623" s="51"/>
      <c r="BG623" s="51"/>
      <c r="BH623" s="51"/>
      <c r="BI623" s="51"/>
      <c r="BJ623" s="51"/>
      <c r="BK623" s="51"/>
      <c r="BL623" s="51"/>
      <c r="BM623" s="51"/>
      <c r="BN623" s="51"/>
      <c r="BO623" s="51"/>
      <c r="BP623" s="51"/>
      <c r="BQ623" s="51"/>
      <c r="BR623" s="51"/>
      <c r="BS623" s="51"/>
      <c r="BT623" s="51"/>
      <c r="BU623" s="51"/>
      <c r="BV623" s="51"/>
      <c r="BW623" s="51"/>
      <c r="BX623" s="51"/>
      <c r="BY623" s="51"/>
      <c r="BZ623" s="51"/>
      <c r="CA623" s="51"/>
      <c r="CB623" s="51"/>
      <c r="CC623" s="51"/>
      <c r="CD623" s="51"/>
      <c r="CE623" s="51"/>
      <c r="CF623" s="51"/>
      <c r="CG623" s="51"/>
    </row>
    <row r="624" ht="30.0"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c r="BA624" s="51"/>
      <c r="BB624" s="51"/>
      <c r="BC624" s="51"/>
      <c r="BD624" s="51"/>
      <c r="BE624" s="51"/>
      <c r="BF624" s="51"/>
      <c r="BG624" s="51"/>
      <c r="BH624" s="51"/>
      <c r="BI624" s="51"/>
      <c r="BJ624" s="51"/>
      <c r="BK624" s="51"/>
      <c r="BL624" s="51"/>
      <c r="BM624" s="51"/>
      <c r="BN624" s="51"/>
      <c r="BO624" s="51"/>
      <c r="BP624" s="51"/>
      <c r="BQ624" s="51"/>
      <c r="BR624" s="51"/>
      <c r="BS624" s="51"/>
      <c r="BT624" s="51"/>
      <c r="BU624" s="51"/>
      <c r="BV624" s="51"/>
      <c r="BW624" s="51"/>
      <c r="BX624" s="51"/>
      <c r="BY624" s="51"/>
      <c r="BZ624" s="51"/>
      <c r="CA624" s="51"/>
      <c r="CB624" s="51"/>
      <c r="CC624" s="51"/>
      <c r="CD624" s="51"/>
      <c r="CE624" s="51"/>
      <c r="CF624" s="51"/>
      <c r="CG624" s="51"/>
    </row>
    <row r="625" ht="30.0"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c r="BA625" s="51"/>
      <c r="BB625" s="51"/>
      <c r="BC625" s="51"/>
      <c r="BD625" s="51"/>
      <c r="BE625" s="51"/>
      <c r="BF625" s="51"/>
      <c r="BG625" s="51"/>
      <c r="BH625" s="51"/>
      <c r="BI625" s="51"/>
      <c r="BJ625" s="51"/>
      <c r="BK625" s="51"/>
      <c r="BL625" s="51"/>
      <c r="BM625" s="51"/>
      <c r="BN625" s="51"/>
      <c r="BO625" s="51"/>
      <c r="BP625" s="51"/>
      <c r="BQ625" s="51"/>
      <c r="BR625" s="51"/>
      <c r="BS625" s="51"/>
      <c r="BT625" s="51"/>
      <c r="BU625" s="51"/>
      <c r="BV625" s="51"/>
      <c r="BW625" s="51"/>
      <c r="BX625" s="51"/>
      <c r="BY625" s="51"/>
      <c r="BZ625" s="51"/>
      <c r="CA625" s="51"/>
      <c r="CB625" s="51"/>
      <c r="CC625" s="51"/>
      <c r="CD625" s="51"/>
      <c r="CE625" s="51"/>
      <c r="CF625" s="51"/>
      <c r="CG625" s="51"/>
    </row>
    <row r="626" ht="30.0"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c r="BA626" s="51"/>
      <c r="BB626" s="51"/>
      <c r="BC626" s="51"/>
      <c r="BD626" s="51"/>
      <c r="BE626" s="51"/>
      <c r="BF626" s="51"/>
      <c r="BG626" s="51"/>
      <c r="BH626" s="51"/>
      <c r="BI626" s="51"/>
      <c r="BJ626" s="51"/>
      <c r="BK626" s="51"/>
      <c r="BL626" s="51"/>
      <c r="BM626" s="51"/>
      <c r="BN626" s="51"/>
      <c r="BO626" s="51"/>
      <c r="BP626" s="51"/>
      <c r="BQ626" s="51"/>
      <c r="BR626" s="51"/>
      <c r="BS626" s="51"/>
      <c r="BT626" s="51"/>
      <c r="BU626" s="51"/>
      <c r="BV626" s="51"/>
      <c r="BW626" s="51"/>
      <c r="BX626" s="51"/>
      <c r="BY626" s="51"/>
      <c r="BZ626" s="51"/>
      <c r="CA626" s="51"/>
      <c r="CB626" s="51"/>
      <c r="CC626" s="51"/>
      <c r="CD626" s="51"/>
      <c r="CE626" s="51"/>
      <c r="CF626" s="51"/>
      <c r="CG626" s="51"/>
    </row>
    <row r="627" ht="30.0"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c r="BA627" s="51"/>
      <c r="BB627" s="51"/>
      <c r="BC627" s="51"/>
      <c r="BD627" s="51"/>
      <c r="BE627" s="51"/>
      <c r="BF627" s="51"/>
      <c r="BG627" s="51"/>
      <c r="BH627" s="51"/>
      <c r="BI627" s="51"/>
      <c r="BJ627" s="51"/>
      <c r="BK627" s="51"/>
      <c r="BL627" s="51"/>
      <c r="BM627" s="51"/>
      <c r="BN627" s="51"/>
      <c r="BO627" s="51"/>
      <c r="BP627" s="51"/>
      <c r="BQ627" s="51"/>
      <c r="BR627" s="51"/>
      <c r="BS627" s="51"/>
      <c r="BT627" s="51"/>
      <c r="BU627" s="51"/>
      <c r="BV627" s="51"/>
      <c r="BW627" s="51"/>
      <c r="BX627" s="51"/>
      <c r="BY627" s="51"/>
      <c r="BZ627" s="51"/>
      <c r="CA627" s="51"/>
      <c r="CB627" s="51"/>
      <c r="CC627" s="51"/>
      <c r="CD627" s="51"/>
      <c r="CE627" s="51"/>
      <c r="CF627" s="51"/>
      <c r="CG627" s="51"/>
    </row>
    <row r="628" ht="30.0"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c r="BA628" s="51"/>
      <c r="BB628" s="51"/>
      <c r="BC628" s="51"/>
      <c r="BD628" s="51"/>
      <c r="BE628" s="51"/>
      <c r="BF628" s="51"/>
      <c r="BG628" s="51"/>
      <c r="BH628" s="51"/>
      <c r="BI628" s="51"/>
      <c r="BJ628" s="51"/>
      <c r="BK628" s="51"/>
      <c r="BL628" s="51"/>
      <c r="BM628" s="51"/>
      <c r="BN628" s="51"/>
      <c r="BO628" s="51"/>
      <c r="BP628" s="51"/>
      <c r="BQ628" s="51"/>
      <c r="BR628" s="51"/>
      <c r="BS628" s="51"/>
      <c r="BT628" s="51"/>
      <c r="BU628" s="51"/>
      <c r="BV628" s="51"/>
      <c r="BW628" s="51"/>
      <c r="BX628" s="51"/>
      <c r="BY628" s="51"/>
      <c r="BZ628" s="51"/>
      <c r="CA628" s="51"/>
      <c r="CB628" s="51"/>
      <c r="CC628" s="51"/>
      <c r="CD628" s="51"/>
      <c r="CE628" s="51"/>
      <c r="CF628" s="51"/>
      <c r="CG628" s="51"/>
    </row>
    <row r="629" ht="30.0"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c r="BA629" s="51"/>
      <c r="BB629" s="51"/>
      <c r="BC629" s="51"/>
      <c r="BD629" s="51"/>
      <c r="BE629" s="51"/>
      <c r="BF629" s="51"/>
      <c r="BG629" s="51"/>
      <c r="BH629" s="51"/>
      <c r="BI629" s="51"/>
      <c r="BJ629" s="51"/>
      <c r="BK629" s="51"/>
      <c r="BL629" s="51"/>
      <c r="BM629" s="51"/>
      <c r="BN629" s="51"/>
      <c r="BO629" s="51"/>
      <c r="BP629" s="51"/>
      <c r="BQ629" s="51"/>
      <c r="BR629" s="51"/>
      <c r="BS629" s="51"/>
      <c r="BT629" s="51"/>
      <c r="BU629" s="51"/>
      <c r="BV629" s="51"/>
      <c r="BW629" s="51"/>
      <c r="BX629" s="51"/>
      <c r="BY629" s="51"/>
      <c r="BZ629" s="51"/>
      <c r="CA629" s="51"/>
      <c r="CB629" s="51"/>
      <c r="CC629" s="51"/>
      <c r="CD629" s="51"/>
      <c r="CE629" s="51"/>
      <c r="CF629" s="51"/>
      <c r="CG629" s="51"/>
    </row>
    <row r="630" ht="30.0"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c r="BA630" s="51"/>
      <c r="BB630" s="51"/>
      <c r="BC630" s="51"/>
      <c r="BD630" s="51"/>
      <c r="BE630" s="51"/>
      <c r="BF630" s="51"/>
      <c r="BG630" s="51"/>
      <c r="BH630" s="51"/>
      <c r="BI630" s="51"/>
      <c r="BJ630" s="51"/>
      <c r="BK630" s="51"/>
      <c r="BL630" s="51"/>
      <c r="BM630" s="51"/>
      <c r="BN630" s="51"/>
      <c r="BO630" s="51"/>
      <c r="BP630" s="51"/>
      <c r="BQ630" s="51"/>
      <c r="BR630" s="51"/>
      <c r="BS630" s="51"/>
      <c r="BT630" s="51"/>
      <c r="BU630" s="51"/>
      <c r="BV630" s="51"/>
      <c r="BW630" s="51"/>
      <c r="BX630" s="51"/>
      <c r="BY630" s="51"/>
      <c r="BZ630" s="51"/>
      <c r="CA630" s="51"/>
      <c r="CB630" s="51"/>
      <c r="CC630" s="51"/>
      <c r="CD630" s="51"/>
      <c r="CE630" s="51"/>
      <c r="CF630" s="51"/>
      <c r="CG630" s="51"/>
    </row>
    <row r="631" ht="30.0"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c r="BA631" s="51"/>
      <c r="BB631" s="51"/>
      <c r="BC631" s="51"/>
      <c r="BD631" s="51"/>
      <c r="BE631" s="51"/>
      <c r="BF631" s="51"/>
      <c r="BG631" s="51"/>
      <c r="BH631" s="51"/>
      <c r="BI631" s="51"/>
      <c r="BJ631" s="51"/>
      <c r="BK631" s="51"/>
      <c r="BL631" s="51"/>
      <c r="BM631" s="51"/>
      <c r="BN631" s="51"/>
      <c r="BO631" s="51"/>
      <c r="BP631" s="51"/>
      <c r="BQ631" s="51"/>
      <c r="BR631" s="51"/>
      <c r="BS631" s="51"/>
      <c r="BT631" s="51"/>
      <c r="BU631" s="51"/>
      <c r="BV631" s="51"/>
      <c r="BW631" s="51"/>
      <c r="BX631" s="51"/>
      <c r="BY631" s="51"/>
      <c r="BZ631" s="51"/>
      <c r="CA631" s="51"/>
      <c r="CB631" s="51"/>
      <c r="CC631" s="51"/>
      <c r="CD631" s="51"/>
      <c r="CE631" s="51"/>
      <c r="CF631" s="51"/>
      <c r="CG631" s="51"/>
    </row>
    <row r="632" ht="30.0"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c r="BA632" s="51"/>
      <c r="BB632" s="51"/>
      <c r="BC632" s="51"/>
      <c r="BD632" s="51"/>
      <c r="BE632" s="51"/>
      <c r="BF632" s="51"/>
      <c r="BG632" s="51"/>
      <c r="BH632" s="51"/>
      <c r="BI632" s="51"/>
      <c r="BJ632" s="51"/>
      <c r="BK632" s="51"/>
      <c r="BL632" s="51"/>
      <c r="BM632" s="51"/>
      <c r="BN632" s="51"/>
      <c r="BO632" s="51"/>
      <c r="BP632" s="51"/>
      <c r="BQ632" s="51"/>
      <c r="BR632" s="51"/>
      <c r="BS632" s="51"/>
      <c r="BT632" s="51"/>
      <c r="BU632" s="51"/>
      <c r="BV632" s="51"/>
      <c r="BW632" s="51"/>
      <c r="BX632" s="51"/>
      <c r="BY632" s="51"/>
      <c r="BZ632" s="51"/>
      <c r="CA632" s="51"/>
      <c r="CB632" s="51"/>
      <c r="CC632" s="51"/>
      <c r="CD632" s="51"/>
      <c r="CE632" s="51"/>
      <c r="CF632" s="51"/>
      <c r="CG632" s="51"/>
    </row>
    <row r="633" ht="30.0"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c r="BA633" s="51"/>
      <c r="BB633" s="51"/>
      <c r="BC633" s="51"/>
      <c r="BD633" s="51"/>
      <c r="BE633" s="51"/>
      <c r="BF633" s="51"/>
      <c r="BG633" s="51"/>
      <c r="BH633" s="51"/>
      <c r="BI633" s="51"/>
      <c r="BJ633" s="51"/>
      <c r="BK633" s="51"/>
      <c r="BL633" s="51"/>
      <c r="BM633" s="51"/>
      <c r="BN633" s="51"/>
      <c r="BO633" s="51"/>
      <c r="BP633" s="51"/>
      <c r="BQ633" s="51"/>
      <c r="BR633" s="51"/>
      <c r="BS633" s="51"/>
      <c r="BT633" s="51"/>
      <c r="BU633" s="51"/>
      <c r="BV633" s="51"/>
      <c r="BW633" s="51"/>
      <c r="BX633" s="51"/>
      <c r="BY633" s="51"/>
      <c r="BZ633" s="51"/>
      <c r="CA633" s="51"/>
      <c r="CB633" s="51"/>
      <c r="CC633" s="51"/>
      <c r="CD633" s="51"/>
      <c r="CE633" s="51"/>
      <c r="CF633" s="51"/>
      <c r="CG633" s="51"/>
    </row>
    <row r="634" ht="30.0"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c r="BA634" s="51"/>
      <c r="BB634" s="51"/>
      <c r="BC634" s="51"/>
      <c r="BD634" s="51"/>
      <c r="BE634" s="51"/>
      <c r="BF634" s="51"/>
      <c r="BG634" s="51"/>
      <c r="BH634" s="51"/>
      <c r="BI634" s="51"/>
      <c r="BJ634" s="51"/>
      <c r="BK634" s="51"/>
      <c r="BL634" s="51"/>
      <c r="BM634" s="51"/>
      <c r="BN634" s="51"/>
      <c r="BO634" s="51"/>
      <c r="BP634" s="51"/>
      <c r="BQ634" s="51"/>
      <c r="BR634" s="51"/>
      <c r="BS634" s="51"/>
      <c r="BT634" s="51"/>
      <c r="BU634" s="51"/>
      <c r="BV634" s="51"/>
      <c r="BW634" s="51"/>
      <c r="BX634" s="51"/>
      <c r="BY634" s="51"/>
      <c r="BZ634" s="51"/>
      <c r="CA634" s="51"/>
      <c r="CB634" s="51"/>
      <c r="CC634" s="51"/>
      <c r="CD634" s="51"/>
      <c r="CE634" s="51"/>
      <c r="CF634" s="51"/>
      <c r="CG634" s="51"/>
    </row>
    <row r="635" ht="30.0"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c r="BA635" s="51"/>
      <c r="BB635" s="51"/>
      <c r="BC635" s="51"/>
      <c r="BD635" s="51"/>
      <c r="BE635" s="51"/>
      <c r="BF635" s="51"/>
      <c r="BG635" s="51"/>
      <c r="BH635" s="51"/>
      <c r="BI635" s="51"/>
      <c r="BJ635" s="51"/>
      <c r="BK635" s="51"/>
      <c r="BL635" s="51"/>
      <c r="BM635" s="51"/>
      <c r="BN635" s="51"/>
      <c r="BO635" s="51"/>
      <c r="BP635" s="51"/>
      <c r="BQ635" s="51"/>
      <c r="BR635" s="51"/>
      <c r="BS635" s="51"/>
      <c r="BT635" s="51"/>
      <c r="BU635" s="51"/>
      <c r="BV635" s="51"/>
      <c r="BW635" s="51"/>
      <c r="BX635" s="51"/>
      <c r="BY635" s="51"/>
      <c r="BZ635" s="51"/>
      <c r="CA635" s="51"/>
      <c r="CB635" s="51"/>
      <c r="CC635" s="51"/>
      <c r="CD635" s="51"/>
      <c r="CE635" s="51"/>
      <c r="CF635" s="51"/>
      <c r="CG635" s="51"/>
    </row>
    <row r="636" ht="30.0"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c r="BA636" s="51"/>
      <c r="BB636" s="51"/>
      <c r="BC636" s="51"/>
      <c r="BD636" s="51"/>
      <c r="BE636" s="51"/>
      <c r="BF636" s="51"/>
      <c r="BG636" s="51"/>
      <c r="BH636" s="51"/>
      <c r="BI636" s="51"/>
      <c r="BJ636" s="51"/>
      <c r="BK636" s="51"/>
      <c r="BL636" s="51"/>
      <c r="BM636" s="51"/>
      <c r="BN636" s="51"/>
      <c r="BO636" s="51"/>
      <c r="BP636" s="51"/>
      <c r="BQ636" s="51"/>
      <c r="BR636" s="51"/>
      <c r="BS636" s="51"/>
      <c r="BT636" s="51"/>
      <c r="BU636" s="51"/>
      <c r="BV636" s="51"/>
      <c r="BW636" s="51"/>
      <c r="BX636" s="51"/>
      <c r="BY636" s="51"/>
      <c r="BZ636" s="51"/>
      <c r="CA636" s="51"/>
      <c r="CB636" s="51"/>
      <c r="CC636" s="51"/>
      <c r="CD636" s="51"/>
      <c r="CE636" s="51"/>
      <c r="CF636" s="51"/>
      <c r="CG636" s="51"/>
    </row>
    <row r="637" ht="30.0"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c r="BA637" s="51"/>
      <c r="BB637" s="51"/>
      <c r="BC637" s="51"/>
      <c r="BD637" s="51"/>
      <c r="BE637" s="51"/>
      <c r="BF637" s="51"/>
      <c r="BG637" s="51"/>
      <c r="BH637" s="51"/>
      <c r="BI637" s="51"/>
      <c r="BJ637" s="51"/>
      <c r="BK637" s="51"/>
      <c r="BL637" s="51"/>
      <c r="BM637" s="51"/>
      <c r="BN637" s="51"/>
      <c r="BO637" s="51"/>
      <c r="BP637" s="51"/>
      <c r="BQ637" s="51"/>
      <c r="BR637" s="51"/>
      <c r="BS637" s="51"/>
      <c r="BT637" s="51"/>
      <c r="BU637" s="51"/>
      <c r="BV637" s="51"/>
      <c r="BW637" s="51"/>
      <c r="BX637" s="51"/>
      <c r="BY637" s="51"/>
      <c r="BZ637" s="51"/>
      <c r="CA637" s="51"/>
      <c r="CB637" s="51"/>
      <c r="CC637" s="51"/>
      <c r="CD637" s="51"/>
      <c r="CE637" s="51"/>
      <c r="CF637" s="51"/>
      <c r="CG637" s="51"/>
    </row>
    <row r="638" ht="30.0"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c r="BA638" s="51"/>
      <c r="BB638" s="51"/>
      <c r="BC638" s="51"/>
      <c r="BD638" s="51"/>
      <c r="BE638" s="51"/>
      <c r="BF638" s="51"/>
      <c r="BG638" s="51"/>
      <c r="BH638" s="51"/>
      <c r="BI638" s="51"/>
      <c r="BJ638" s="51"/>
      <c r="BK638" s="51"/>
      <c r="BL638" s="51"/>
      <c r="BM638" s="51"/>
      <c r="BN638" s="51"/>
      <c r="BO638" s="51"/>
      <c r="BP638" s="51"/>
      <c r="BQ638" s="51"/>
      <c r="BR638" s="51"/>
      <c r="BS638" s="51"/>
      <c r="BT638" s="51"/>
      <c r="BU638" s="51"/>
      <c r="BV638" s="51"/>
      <c r="BW638" s="51"/>
      <c r="BX638" s="51"/>
      <c r="BY638" s="51"/>
      <c r="BZ638" s="51"/>
      <c r="CA638" s="51"/>
      <c r="CB638" s="51"/>
      <c r="CC638" s="51"/>
      <c r="CD638" s="51"/>
      <c r="CE638" s="51"/>
      <c r="CF638" s="51"/>
      <c r="CG638" s="51"/>
    </row>
    <row r="639" ht="30.0"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c r="BA639" s="51"/>
      <c r="BB639" s="51"/>
      <c r="BC639" s="51"/>
      <c r="BD639" s="51"/>
      <c r="BE639" s="51"/>
      <c r="BF639" s="51"/>
      <c r="BG639" s="51"/>
      <c r="BH639" s="51"/>
      <c r="BI639" s="51"/>
      <c r="BJ639" s="51"/>
      <c r="BK639" s="51"/>
      <c r="BL639" s="51"/>
      <c r="BM639" s="51"/>
      <c r="BN639" s="51"/>
      <c r="BO639" s="51"/>
      <c r="BP639" s="51"/>
      <c r="BQ639" s="51"/>
      <c r="BR639" s="51"/>
      <c r="BS639" s="51"/>
      <c r="BT639" s="51"/>
      <c r="BU639" s="51"/>
      <c r="BV639" s="51"/>
      <c r="BW639" s="51"/>
      <c r="BX639" s="51"/>
      <c r="BY639" s="51"/>
      <c r="BZ639" s="51"/>
      <c r="CA639" s="51"/>
      <c r="CB639" s="51"/>
      <c r="CC639" s="51"/>
      <c r="CD639" s="51"/>
      <c r="CE639" s="51"/>
      <c r="CF639" s="51"/>
      <c r="CG639" s="51"/>
    </row>
    <row r="640" ht="30.0"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c r="BA640" s="51"/>
      <c r="BB640" s="51"/>
      <c r="BC640" s="51"/>
      <c r="BD640" s="51"/>
      <c r="BE640" s="51"/>
      <c r="BF640" s="51"/>
      <c r="BG640" s="51"/>
      <c r="BH640" s="51"/>
      <c r="BI640" s="51"/>
      <c r="BJ640" s="51"/>
      <c r="BK640" s="51"/>
      <c r="BL640" s="51"/>
      <c r="BM640" s="51"/>
      <c r="BN640" s="51"/>
      <c r="BO640" s="51"/>
      <c r="BP640" s="51"/>
      <c r="BQ640" s="51"/>
      <c r="BR640" s="51"/>
      <c r="BS640" s="51"/>
      <c r="BT640" s="51"/>
      <c r="BU640" s="51"/>
      <c r="BV640" s="51"/>
      <c r="BW640" s="51"/>
      <c r="BX640" s="51"/>
      <c r="BY640" s="51"/>
      <c r="BZ640" s="51"/>
      <c r="CA640" s="51"/>
      <c r="CB640" s="51"/>
      <c r="CC640" s="51"/>
      <c r="CD640" s="51"/>
      <c r="CE640" s="51"/>
      <c r="CF640" s="51"/>
      <c r="CG640" s="51"/>
    </row>
    <row r="641" ht="30.0"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c r="BA641" s="51"/>
      <c r="BB641" s="51"/>
      <c r="BC641" s="51"/>
      <c r="BD641" s="51"/>
      <c r="BE641" s="51"/>
      <c r="BF641" s="51"/>
      <c r="BG641" s="51"/>
      <c r="BH641" s="51"/>
      <c r="BI641" s="51"/>
      <c r="BJ641" s="51"/>
      <c r="BK641" s="51"/>
      <c r="BL641" s="51"/>
      <c r="BM641" s="51"/>
      <c r="BN641" s="51"/>
      <c r="BO641" s="51"/>
      <c r="BP641" s="51"/>
      <c r="BQ641" s="51"/>
      <c r="BR641" s="51"/>
      <c r="BS641" s="51"/>
      <c r="BT641" s="51"/>
      <c r="BU641" s="51"/>
      <c r="BV641" s="51"/>
      <c r="BW641" s="51"/>
      <c r="BX641" s="51"/>
      <c r="BY641" s="51"/>
      <c r="BZ641" s="51"/>
      <c r="CA641" s="51"/>
      <c r="CB641" s="51"/>
      <c r="CC641" s="51"/>
      <c r="CD641" s="51"/>
      <c r="CE641" s="51"/>
      <c r="CF641" s="51"/>
      <c r="CG641" s="51"/>
    </row>
    <row r="642" ht="30.0"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c r="BA642" s="51"/>
      <c r="BB642" s="51"/>
      <c r="BC642" s="51"/>
      <c r="BD642" s="51"/>
      <c r="BE642" s="51"/>
      <c r="BF642" s="51"/>
      <c r="BG642" s="51"/>
      <c r="BH642" s="51"/>
      <c r="BI642" s="51"/>
      <c r="BJ642" s="51"/>
      <c r="BK642" s="51"/>
      <c r="BL642" s="51"/>
      <c r="BM642" s="51"/>
      <c r="BN642" s="51"/>
      <c r="BO642" s="51"/>
      <c r="BP642" s="51"/>
      <c r="BQ642" s="51"/>
      <c r="BR642" s="51"/>
      <c r="BS642" s="51"/>
      <c r="BT642" s="51"/>
      <c r="BU642" s="51"/>
      <c r="BV642" s="51"/>
      <c r="BW642" s="51"/>
      <c r="BX642" s="51"/>
      <c r="BY642" s="51"/>
      <c r="BZ642" s="51"/>
      <c r="CA642" s="51"/>
      <c r="CB642" s="51"/>
      <c r="CC642" s="51"/>
      <c r="CD642" s="51"/>
      <c r="CE642" s="51"/>
      <c r="CF642" s="51"/>
      <c r="CG642" s="51"/>
    </row>
    <row r="643" ht="30.0"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c r="BA643" s="51"/>
      <c r="BB643" s="51"/>
      <c r="BC643" s="51"/>
      <c r="BD643" s="51"/>
      <c r="BE643" s="51"/>
      <c r="BF643" s="51"/>
      <c r="BG643" s="51"/>
      <c r="BH643" s="51"/>
      <c r="BI643" s="51"/>
      <c r="BJ643" s="51"/>
      <c r="BK643" s="51"/>
      <c r="BL643" s="51"/>
      <c r="BM643" s="51"/>
      <c r="BN643" s="51"/>
      <c r="BO643" s="51"/>
      <c r="BP643" s="51"/>
      <c r="BQ643" s="51"/>
      <c r="BR643" s="51"/>
      <c r="BS643" s="51"/>
      <c r="BT643" s="51"/>
      <c r="BU643" s="51"/>
      <c r="BV643" s="51"/>
      <c r="BW643" s="51"/>
      <c r="BX643" s="51"/>
      <c r="BY643" s="51"/>
      <c r="BZ643" s="51"/>
      <c r="CA643" s="51"/>
      <c r="CB643" s="51"/>
      <c r="CC643" s="51"/>
      <c r="CD643" s="51"/>
      <c r="CE643" s="51"/>
      <c r="CF643" s="51"/>
      <c r="CG643" s="51"/>
    </row>
    <row r="644" ht="30.0"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c r="BA644" s="51"/>
      <c r="BB644" s="51"/>
      <c r="BC644" s="51"/>
      <c r="BD644" s="51"/>
      <c r="BE644" s="51"/>
      <c r="BF644" s="51"/>
      <c r="BG644" s="51"/>
      <c r="BH644" s="51"/>
      <c r="BI644" s="51"/>
      <c r="BJ644" s="51"/>
      <c r="BK644" s="51"/>
      <c r="BL644" s="51"/>
      <c r="BM644" s="51"/>
      <c r="BN644" s="51"/>
      <c r="BO644" s="51"/>
      <c r="BP644" s="51"/>
      <c r="BQ644" s="51"/>
      <c r="BR644" s="51"/>
      <c r="BS644" s="51"/>
      <c r="BT644" s="51"/>
      <c r="BU644" s="51"/>
      <c r="BV644" s="51"/>
      <c r="BW644" s="51"/>
      <c r="BX644" s="51"/>
      <c r="BY644" s="51"/>
      <c r="BZ644" s="51"/>
      <c r="CA644" s="51"/>
      <c r="CB644" s="51"/>
      <c r="CC644" s="51"/>
      <c r="CD644" s="51"/>
      <c r="CE644" s="51"/>
      <c r="CF644" s="51"/>
      <c r="CG644" s="51"/>
    </row>
    <row r="645" ht="30.0"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c r="BA645" s="51"/>
      <c r="BB645" s="51"/>
      <c r="BC645" s="51"/>
      <c r="BD645" s="51"/>
      <c r="BE645" s="51"/>
      <c r="BF645" s="51"/>
      <c r="BG645" s="51"/>
      <c r="BH645" s="51"/>
      <c r="BI645" s="51"/>
      <c r="BJ645" s="51"/>
      <c r="BK645" s="51"/>
      <c r="BL645" s="51"/>
      <c r="BM645" s="51"/>
      <c r="BN645" s="51"/>
      <c r="BO645" s="51"/>
      <c r="BP645" s="51"/>
      <c r="BQ645" s="51"/>
      <c r="BR645" s="51"/>
      <c r="BS645" s="51"/>
      <c r="BT645" s="51"/>
      <c r="BU645" s="51"/>
      <c r="BV645" s="51"/>
      <c r="BW645" s="51"/>
      <c r="BX645" s="51"/>
      <c r="BY645" s="51"/>
      <c r="BZ645" s="51"/>
      <c r="CA645" s="51"/>
      <c r="CB645" s="51"/>
      <c r="CC645" s="51"/>
      <c r="CD645" s="51"/>
      <c r="CE645" s="51"/>
      <c r="CF645" s="51"/>
      <c r="CG645" s="51"/>
    </row>
    <row r="646" ht="30.0"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c r="BA646" s="51"/>
      <c r="BB646" s="51"/>
      <c r="BC646" s="51"/>
      <c r="BD646" s="51"/>
      <c r="BE646" s="51"/>
      <c r="BF646" s="51"/>
      <c r="BG646" s="51"/>
      <c r="BH646" s="51"/>
      <c r="BI646" s="51"/>
      <c r="BJ646" s="51"/>
      <c r="BK646" s="51"/>
      <c r="BL646" s="51"/>
      <c r="BM646" s="51"/>
      <c r="BN646" s="51"/>
      <c r="BO646" s="51"/>
      <c r="BP646" s="51"/>
      <c r="BQ646" s="51"/>
      <c r="BR646" s="51"/>
      <c r="BS646" s="51"/>
      <c r="BT646" s="51"/>
      <c r="BU646" s="51"/>
      <c r="BV646" s="51"/>
      <c r="BW646" s="51"/>
      <c r="BX646" s="51"/>
      <c r="BY646" s="51"/>
      <c r="BZ646" s="51"/>
      <c r="CA646" s="51"/>
      <c r="CB646" s="51"/>
      <c r="CC646" s="51"/>
      <c r="CD646" s="51"/>
      <c r="CE646" s="51"/>
      <c r="CF646" s="51"/>
      <c r="CG646" s="51"/>
    </row>
    <row r="647" ht="30.0"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c r="BA647" s="51"/>
      <c r="BB647" s="51"/>
      <c r="BC647" s="51"/>
      <c r="BD647" s="51"/>
      <c r="BE647" s="51"/>
      <c r="BF647" s="51"/>
      <c r="BG647" s="51"/>
      <c r="BH647" s="51"/>
      <c r="BI647" s="51"/>
      <c r="BJ647" s="51"/>
      <c r="BK647" s="51"/>
      <c r="BL647" s="51"/>
      <c r="BM647" s="51"/>
      <c r="BN647" s="51"/>
      <c r="BO647" s="51"/>
      <c r="BP647" s="51"/>
      <c r="BQ647" s="51"/>
      <c r="BR647" s="51"/>
      <c r="BS647" s="51"/>
      <c r="BT647" s="51"/>
      <c r="BU647" s="51"/>
      <c r="BV647" s="51"/>
      <c r="BW647" s="51"/>
      <c r="BX647" s="51"/>
      <c r="BY647" s="51"/>
      <c r="BZ647" s="51"/>
      <c r="CA647" s="51"/>
      <c r="CB647" s="51"/>
      <c r="CC647" s="51"/>
      <c r="CD647" s="51"/>
      <c r="CE647" s="51"/>
      <c r="CF647" s="51"/>
      <c r="CG647" s="51"/>
    </row>
    <row r="648" ht="30.0"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c r="BA648" s="51"/>
      <c r="BB648" s="51"/>
      <c r="BC648" s="51"/>
      <c r="BD648" s="51"/>
      <c r="BE648" s="51"/>
      <c r="BF648" s="51"/>
      <c r="BG648" s="51"/>
      <c r="BH648" s="51"/>
      <c r="BI648" s="51"/>
      <c r="BJ648" s="51"/>
      <c r="BK648" s="51"/>
      <c r="BL648" s="51"/>
      <c r="BM648" s="51"/>
      <c r="BN648" s="51"/>
      <c r="BO648" s="51"/>
      <c r="BP648" s="51"/>
      <c r="BQ648" s="51"/>
      <c r="BR648" s="51"/>
      <c r="BS648" s="51"/>
      <c r="BT648" s="51"/>
      <c r="BU648" s="51"/>
      <c r="BV648" s="51"/>
      <c r="BW648" s="51"/>
      <c r="BX648" s="51"/>
      <c r="BY648" s="51"/>
      <c r="BZ648" s="51"/>
      <c r="CA648" s="51"/>
      <c r="CB648" s="51"/>
      <c r="CC648" s="51"/>
      <c r="CD648" s="51"/>
      <c r="CE648" s="51"/>
      <c r="CF648" s="51"/>
      <c r="CG648" s="51"/>
    </row>
    <row r="649" ht="30.0"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c r="BA649" s="51"/>
      <c r="BB649" s="51"/>
      <c r="BC649" s="51"/>
      <c r="BD649" s="51"/>
      <c r="BE649" s="51"/>
      <c r="BF649" s="51"/>
      <c r="BG649" s="51"/>
      <c r="BH649" s="51"/>
      <c r="BI649" s="51"/>
      <c r="BJ649" s="51"/>
      <c r="BK649" s="51"/>
      <c r="BL649" s="51"/>
      <c r="BM649" s="51"/>
      <c r="BN649" s="51"/>
      <c r="BO649" s="51"/>
      <c r="BP649" s="51"/>
      <c r="BQ649" s="51"/>
      <c r="BR649" s="51"/>
      <c r="BS649" s="51"/>
      <c r="BT649" s="51"/>
      <c r="BU649" s="51"/>
      <c r="BV649" s="51"/>
      <c r="BW649" s="51"/>
      <c r="BX649" s="51"/>
      <c r="BY649" s="51"/>
      <c r="BZ649" s="51"/>
      <c r="CA649" s="51"/>
      <c r="CB649" s="51"/>
      <c r="CC649" s="51"/>
      <c r="CD649" s="51"/>
      <c r="CE649" s="51"/>
      <c r="CF649" s="51"/>
      <c r="CG649" s="51"/>
    </row>
    <row r="650" ht="30.0"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c r="BA650" s="51"/>
      <c r="BB650" s="51"/>
      <c r="BC650" s="51"/>
      <c r="BD650" s="51"/>
      <c r="BE650" s="51"/>
      <c r="BF650" s="51"/>
      <c r="BG650" s="51"/>
      <c r="BH650" s="51"/>
      <c r="BI650" s="51"/>
      <c r="BJ650" s="51"/>
      <c r="BK650" s="51"/>
      <c r="BL650" s="51"/>
      <c r="BM650" s="51"/>
      <c r="BN650" s="51"/>
      <c r="BO650" s="51"/>
      <c r="BP650" s="51"/>
      <c r="BQ650" s="51"/>
      <c r="BR650" s="51"/>
      <c r="BS650" s="51"/>
      <c r="BT650" s="51"/>
      <c r="BU650" s="51"/>
      <c r="BV650" s="51"/>
      <c r="BW650" s="51"/>
      <c r="BX650" s="51"/>
      <c r="BY650" s="51"/>
      <c r="BZ650" s="51"/>
      <c r="CA650" s="51"/>
      <c r="CB650" s="51"/>
      <c r="CC650" s="51"/>
      <c r="CD650" s="51"/>
      <c r="CE650" s="51"/>
      <c r="CF650" s="51"/>
      <c r="CG650" s="51"/>
    </row>
    <row r="651" ht="30.0"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c r="BA651" s="51"/>
      <c r="BB651" s="51"/>
      <c r="BC651" s="51"/>
      <c r="BD651" s="51"/>
      <c r="BE651" s="51"/>
      <c r="BF651" s="51"/>
      <c r="BG651" s="51"/>
      <c r="BH651" s="51"/>
      <c r="BI651" s="51"/>
      <c r="BJ651" s="51"/>
      <c r="BK651" s="51"/>
      <c r="BL651" s="51"/>
      <c r="BM651" s="51"/>
      <c r="BN651" s="51"/>
      <c r="BO651" s="51"/>
      <c r="BP651" s="51"/>
      <c r="BQ651" s="51"/>
      <c r="BR651" s="51"/>
      <c r="BS651" s="51"/>
      <c r="BT651" s="51"/>
      <c r="BU651" s="51"/>
      <c r="BV651" s="51"/>
      <c r="BW651" s="51"/>
      <c r="BX651" s="51"/>
      <c r="BY651" s="51"/>
      <c r="BZ651" s="51"/>
      <c r="CA651" s="51"/>
      <c r="CB651" s="51"/>
      <c r="CC651" s="51"/>
      <c r="CD651" s="51"/>
      <c r="CE651" s="51"/>
      <c r="CF651" s="51"/>
      <c r="CG651" s="51"/>
    </row>
    <row r="652" ht="30.0"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c r="BA652" s="51"/>
      <c r="BB652" s="51"/>
      <c r="BC652" s="51"/>
      <c r="BD652" s="51"/>
      <c r="BE652" s="51"/>
      <c r="BF652" s="51"/>
      <c r="BG652" s="51"/>
      <c r="BH652" s="51"/>
      <c r="BI652" s="51"/>
      <c r="BJ652" s="51"/>
      <c r="BK652" s="51"/>
      <c r="BL652" s="51"/>
      <c r="BM652" s="51"/>
      <c r="BN652" s="51"/>
      <c r="BO652" s="51"/>
      <c r="BP652" s="51"/>
      <c r="BQ652" s="51"/>
      <c r="BR652" s="51"/>
      <c r="BS652" s="51"/>
      <c r="BT652" s="51"/>
      <c r="BU652" s="51"/>
      <c r="BV652" s="51"/>
      <c r="BW652" s="51"/>
      <c r="BX652" s="51"/>
      <c r="BY652" s="51"/>
      <c r="BZ652" s="51"/>
      <c r="CA652" s="51"/>
      <c r="CB652" s="51"/>
      <c r="CC652" s="51"/>
      <c r="CD652" s="51"/>
      <c r="CE652" s="51"/>
      <c r="CF652" s="51"/>
      <c r="CG652" s="51"/>
    </row>
    <row r="653" ht="30.0"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c r="BA653" s="51"/>
      <c r="BB653" s="51"/>
      <c r="BC653" s="51"/>
      <c r="BD653" s="51"/>
      <c r="BE653" s="51"/>
      <c r="BF653" s="51"/>
      <c r="BG653" s="51"/>
      <c r="BH653" s="51"/>
      <c r="BI653" s="51"/>
      <c r="BJ653" s="51"/>
      <c r="BK653" s="51"/>
      <c r="BL653" s="51"/>
      <c r="BM653" s="51"/>
      <c r="BN653" s="51"/>
      <c r="BO653" s="51"/>
      <c r="BP653" s="51"/>
      <c r="BQ653" s="51"/>
      <c r="BR653" s="51"/>
      <c r="BS653" s="51"/>
      <c r="BT653" s="51"/>
      <c r="BU653" s="51"/>
      <c r="BV653" s="51"/>
      <c r="BW653" s="51"/>
      <c r="BX653" s="51"/>
      <c r="BY653" s="51"/>
      <c r="BZ653" s="51"/>
      <c r="CA653" s="51"/>
      <c r="CB653" s="51"/>
      <c r="CC653" s="51"/>
      <c r="CD653" s="51"/>
      <c r="CE653" s="51"/>
      <c r="CF653" s="51"/>
      <c r="CG653" s="51"/>
    </row>
    <row r="654" ht="30.0"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c r="BA654" s="51"/>
      <c r="BB654" s="51"/>
      <c r="BC654" s="51"/>
      <c r="BD654" s="51"/>
      <c r="BE654" s="51"/>
      <c r="BF654" s="51"/>
      <c r="BG654" s="51"/>
      <c r="BH654" s="51"/>
      <c r="BI654" s="51"/>
      <c r="BJ654" s="51"/>
      <c r="BK654" s="51"/>
      <c r="BL654" s="51"/>
      <c r="BM654" s="51"/>
      <c r="BN654" s="51"/>
      <c r="BO654" s="51"/>
      <c r="BP654" s="51"/>
      <c r="BQ654" s="51"/>
      <c r="BR654" s="51"/>
      <c r="BS654" s="51"/>
      <c r="BT654" s="51"/>
      <c r="BU654" s="51"/>
      <c r="BV654" s="51"/>
      <c r="BW654" s="51"/>
      <c r="BX654" s="51"/>
      <c r="BY654" s="51"/>
      <c r="BZ654" s="51"/>
      <c r="CA654" s="51"/>
      <c r="CB654" s="51"/>
      <c r="CC654" s="51"/>
      <c r="CD654" s="51"/>
      <c r="CE654" s="51"/>
      <c r="CF654" s="51"/>
      <c r="CG654" s="51"/>
    </row>
    <row r="655" ht="30.0"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c r="BA655" s="51"/>
      <c r="BB655" s="51"/>
      <c r="BC655" s="51"/>
      <c r="BD655" s="51"/>
      <c r="BE655" s="51"/>
      <c r="BF655" s="51"/>
      <c r="BG655" s="51"/>
      <c r="BH655" s="51"/>
      <c r="BI655" s="51"/>
      <c r="BJ655" s="51"/>
      <c r="BK655" s="51"/>
      <c r="BL655" s="51"/>
      <c r="BM655" s="51"/>
      <c r="BN655" s="51"/>
      <c r="BO655" s="51"/>
      <c r="BP655" s="51"/>
      <c r="BQ655" s="51"/>
      <c r="BR655" s="51"/>
      <c r="BS655" s="51"/>
      <c r="BT655" s="51"/>
      <c r="BU655" s="51"/>
      <c r="BV655" s="51"/>
      <c r="BW655" s="51"/>
      <c r="BX655" s="51"/>
      <c r="BY655" s="51"/>
      <c r="BZ655" s="51"/>
      <c r="CA655" s="51"/>
      <c r="CB655" s="51"/>
      <c r="CC655" s="51"/>
      <c r="CD655" s="51"/>
      <c r="CE655" s="51"/>
      <c r="CF655" s="51"/>
      <c r="CG655" s="51"/>
    </row>
    <row r="656" ht="30.0"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c r="BA656" s="51"/>
      <c r="BB656" s="51"/>
      <c r="BC656" s="51"/>
      <c r="BD656" s="51"/>
      <c r="BE656" s="51"/>
      <c r="BF656" s="51"/>
      <c r="BG656" s="51"/>
      <c r="BH656" s="51"/>
      <c r="BI656" s="51"/>
      <c r="BJ656" s="51"/>
      <c r="BK656" s="51"/>
      <c r="BL656" s="51"/>
      <c r="BM656" s="51"/>
      <c r="BN656" s="51"/>
      <c r="BO656" s="51"/>
      <c r="BP656" s="51"/>
      <c r="BQ656" s="51"/>
      <c r="BR656" s="51"/>
      <c r="BS656" s="51"/>
      <c r="BT656" s="51"/>
      <c r="BU656" s="51"/>
      <c r="BV656" s="51"/>
      <c r="BW656" s="51"/>
      <c r="BX656" s="51"/>
      <c r="BY656" s="51"/>
      <c r="BZ656" s="51"/>
      <c r="CA656" s="51"/>
      <c r="CB656" s="51"/>
      <c r="CC656" s="51"/>
      <c r="CD656" s="51"/>
      <c r="CE656" s="51"/>
      <c r="CF656" s="51"/>
      <c r="CG656" s="51"/>
    </row>
    <row r="657" ht="30.0"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c r="BA657" s="51"/>
      <c r="BB657" s="51"/>
      <c r="BC657" s="51"/>
      <c r="BD657" s="51"/>
      <c r="BE657" s="51"/>
      <c r="BF657" s="51"/>
      <c r="BG657" s="51"/>
      <c r="BH657" s="51"/>
      <c r="BI657" s="51"/>
      <c r="BJ657" s="51"/>
      <c r="BK657" s="51"/>
      <c r="BL657" s="51"/>
      <c r="BM657" s="51"/>
      <c r="BN657" s="51"/>
      <c r="BO657" s="51"/>
      <c r="BP657" s="51"/>
      <c r="BQ657" s="51"/>
      <c r="BR657" s="51"/>
      <c r="BS657" s="51"/>
      <c r="BT657" s="51"/>
      <c r="BU657" s="51"/>
      <c r="BV657" s="51"/>
      <c r="BW657" s="51"/>
      <c r="BX657" s="51"/>
      <c r="BY657" s="51"/>
      <c r="BZ657" s="51"/>
      <c r="CA657" s="51"/>
      <c r="CB657" s="51"/>
      <c r="CC657" s="51"/>
      <c r="CD657" s="51"/>
      <c r="CE657" s="51"/>
      <c r="CF657" s="51"/>
      <c r="CG657" s="51"/>
    </row>
    <row r="658" ht="30.0"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c r="BA658" s="51"/>
      <c r="BB658" s="51"/>
      <c r="BC658" s="51"/>
      <c r="BD658" s="51"/>
      <c r="BE658" s="51"/>
      <c r="BF658" s="51"/>
      <c r="BG658" s="51"/>
      <c r="BH658" s="51"/>
      <c r="BI658" s="51"/>
      <c r="BJ658" s="51"/>
      <c r="BK658" s="51"/>
      <c r="BL658" s="51"/>
      <c r="BM658" s="51"/>
      <c r="BN658" s="51"/>
      <c r="BO658" s="51"/>
      <c r="BP658" s="51"/>
      <c r="BQ658" s="51"/>
      <c r="BR658" s="51"/>
      <c r="BS658" s="51"/>
      <c r="BT658" s="51"/>
      <c r="BU658" s="51"/>
      <c r="BV658" s="51"/>
      <c r="BW658" s="51"/>
      <c r="BX658" s="51"/>
      <c r="BY658" s="51"/>
      <c r="BZ658" s="51"/>
      <c r="CA658" s="51"/>
      <c r="CB658" s="51"/>
      <c r="CC658" s="51"/>
      <c r="CD658" s="51"/>
      <c r="CE658" s="51"/>
      <c r="CF658" s="51"/>
      <c r="CG658" s="51"/>
    </row>
    <row r="659" ht="30.0"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c r="BA659" s="51"/>
      <c r="BB659" s="51"/>
      <c r="BC659" s="51"/>
      <c r="BD659" s="51"/>
      <c r="BE659" s="51"/>
      <c r="BF659" s="51"/>
      <c r="BG659" s="51"/>
      <c r="BH659" s="51"/>
      <c r="BI659" s="51"/>
      <c r="BJ659" s="51"/>
      <c r="BK659" s="51"/>
      <c r="BL659" s="51"/>
      <c r="BM659" s="51"/>
      <c r="BN659" s="51"/>
      <c r="BO659" s="51"/>
      <c r="BP659" s="51"/>
      <c r="BQ659" s="51"/>
      <c r="BR659" s="51"/>
      <c r="BS659" s="51"/>
      <c r="BT659" s="51"/>
      <c r="BU659" s="51"/>
      <c r="BV659" s="51"/>
      <c r="BW659" s="51"/>
      <c r="BX659" s="51"/>
      <c r="BY659" s="51"/>
      <c r="BZ659" s="51"/>
      <c r="CA659" s="51"/>
      <c r="CB659" s="51"/>
      <c r="CC659" s="51"/>
      <c r="CD659" s="51"/>
      <c r="CE659" s="51"/>
      <c r="CF659" s="51"/>
      <c r="CG659" s="51"/>
    </row>
    <row r="660" ht="30.0"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c r="BA660" s="51"/>
      <c r="BB660" s="51"/>
      <c r="BC660" s="51"/>
      <c r="BD660" s="51"/>
      <c r="BE660" s="51"/>
      <c r="BF660" s="51"/>
      <c r="BG660" s="51"/>
      <c r="BH660" s="51"/>
      <c r="BI660" s="51"/>
      <c r="BJ660" s="51"/>
      <c r="BK660" s="51"/>
      <c r="BL660" s="51"/>
      <c r="BM660" s="51"/>
      <c r="BN660" s="51"/>
      <c r="BO660" s="51"/>
      <c r="BP660" s="51"/>
      <c r="BQ660" s="51"/>
      <c r="BR660" s="51"/>
      <c r="BS660" s="51"/>
      <c r="BT660" s="51"/>
      <c r="BU660" s="51"/>
      <c r="BV660" s="51"/>
      <c r="BW660" s="51"/>
      <c r="BX660" s="51"/>
      <c r="BY660" s="51"/>
      <c r="BZ660" s="51"/>
      <c r="CA660" s="51"/>
      <c r="CB660" s="51"/>
      <c r="CC660" s="51"/>
      <c r="CD660" s="51"/>
      <c r="CE660" s="51"/>
      <c r="CF660" s="51"/>
      <c r="CG660" s="51"/>
    </row>
    <row r="661" ht="30.0"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c r="BA661" s="51"/>
      <c r="BB661" s="51"/>
      <c r="BC661" s="51"/>
      <c r="BD661" s="51"/>
      <c r="BE661" s="51"/>
      <c r="BF661" s="51"/>
      <c r="BG661" s="51"/>
      <c r="BH661" s="51"/>
      <c r="BI661" s="51"/>
      <c r="BJ661" s="51"/>
      <c r="BK661" s="51"/>
      <c r="BL661" s="51"/>
      <c r="BM661" s="51"/>
      <c r="BN661" s="51"/>
      <c r="BO661" s="51"/>
      <c r="BP661" s="51"/>
      <c r="BQ661" s="51"/>
      <c r="BR661" s="51"/>
      <c r="BS661" s="51"/>
      <c r="BT661" s="51"/>
      <c r="BU661" s="51"/>
      <c r="BV661" s="51"/>
      <c r="BW661" s="51"/>
      <c r="BX661" s="51"/>
      <c r="BY661" s="51"/>
      <c r="BZ661" s="51"/>
      <c r="CA661" s="51"/>
      <c r="CB661" s="51"/>
      <c r="CC661" s="51"/>
      <c r="CD661" s="51"/>
      <c r="CE661" s="51"/>
      <c r="CF661" s="51"/>
      <c r="CG661" s="51"/>
    </row>
    <row r="662" ht="30.0"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c r="BA662" s="51"/>
      <c r="BB662" s="51"/>
      <c r="BC662" s="51"/>
      <c r="BD662" s="51"/>
      <c r="BE662" s="51"/>
      <c r="BF662" s="51"/>
      <c r="BG662" s="51"/>
      <c r="BH662" s="51"/>
      <c r="BI662" s="51"/>
      <c r="BJ662" s="51"/>
      <c r="BK662" s="51"/>
      <c r="BL662" s="51"/>
      <c r="BM662" s="51"/>
      <c r="BN662" s="51"/>
      <c r="BO662" s="51"/>
      <c r="BP662" s="51"/>
      <c r="BQ662" s="51"/>
      <c r="BR662" s="51"/>
      <c r="BS662" s="51"/>
      <c r="BT662" s="51"/>
      <c r="BU662" s="51"/>
      <c r="BV662" s="51"/>
      <c r="BW662" s="51"/>
      <c r="BX662" s="51"/>
      <c r="BY662" s="51"/>
      <c r="BZ662" s="51"/>
      <c r="CA662" s="51"/>
      <c r="CB662" s="51"/>
      <c r="CC662" s="51"/>
      <c r="CD662" s="51"/>
      <c r="CE662" s="51"/>
      <c r="CF662" s="51"/>
      <c r="CG662" s="51"/>
    </row>
    <row r="663" ht="30.0"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c r="BA663" s="51"/>
      <c r="BB663" s="51"/>
      <c r="BC663" s="51"/>
      <c r="BD663" s="51"/>
      <c r="BE663" s="51"/>
      <c r="BF663" s="51"/>
      <c r="BG663" s="51"/>
      <c r="BH663" s="51"/>
      <c r="BI663" s="51"/>
      <c r="BJ663" s="51"/>
      <c r="BK663" s="51"/>
      <c r="BL663" s="51"/>
      <c r="BM663" s="51"/>
      <c r="BN663" s="51"/>
      <c r="BO663" s="51"/>
      <c r="BP663" s="51"/>
      <c r="BQ663" s="51"/>
      <c r="BR663" s="51"/>
      <c r="BS663" s="51"/>
      <c r="BT663" s="51"/>
      <c r="BU663" s="51"/>
      <c r="BV663" s="51"/>
      <c r="BW663" s="51"/>
      <c r="BX663" s="51"/>
      <c r="BY663" s="51"/>
      <c r="BZ663" s="51"/>
      <c r="CA663" s="51"/>
      <c r="CB663" s="51"/>
      <c r="CC663" s="51"/>
      <c r="CD663" s="51"/>
      <c r="CE663" s="51"/>
      <c r="CF663" s="51"/>
      <c r="CG663" s="51"/>
    </row>
    <row r="664" ht="30.0"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c r="BA664" s="51"/>
      <c r="BB664" s="51"/>
      <c r="BC664" s="51"/>
      <c r="BD664" s="51"/>
      <c r="BE664" s="51"/>
      <c r="BF664" s="51"/>
      <c r="BG664" s="51"/>
      <c r="BH664" s="51"/>
      <c r="BI664" s="51"/>
      <c r="BJ664" s="51"/>
      <c r="BK664" s="51"/>
      <c r="BL664" s="51"/>
      <c r="BM664" s="51"/>
      <c r="BN664" s="51"/>
      <c r="BO664" s="51"/>
      <c r="BP664" s="51"/>
      <c r="BQ664" s="51"/>
      <c r="BR664" s="51"/>
      <c r="BS664" s="51"/>
      <c r="BT664" s="51"/>
      <c r="BU664" s="51"/>
      <c r="BV664" s="51"/>
      <c r="BW664" s="51"/>
      <c r="BX664" s="51"/>
      <c r="BY664" s="51"/>
      <c r="BZ664" s="51"/>
      <c r="CA664" s="51"/>
      <c r="CB664" s="51"/>
      <c r="CC664" s="51"/>
      <c r="CD664" s="51"/>
      <c r="CE664" s="51"/>
      <c r="CF664" s="51"/>
      <c r="CG664" s="51"/>
    </row>
    <row r="665" ht="30.0"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c r="BA665" s="51"/>
      <c r="BB665" s="51"/>
      <c r="BC665" s="51"/>
      <c r="BD665" s="51"/>
      <c r="BE665" s="51"/>
      <c r="BF665" s="51"/>
      <c r="BG665" s="51"/>
      <c r="BH665" s="51"/>
      <c r="BI665" s="51"/>
      <c r="BJ665" s="51"/>
      <c r="BK665" s="51"/>
      <c r="BL665" s="51"/>
      <c r="BM665" s="51"/>
      <c r="BN665" s="51"/>
      <c r="BO665" s="51"/>
      <c r="BP665" s="51"/>
      <c r="BQ665" s="51"/>
      <c r="BR665" s="51"/>
      <c r="BS665" s="51"/>
      <c r="BT665" s="51"/>
      <c r="BU665" s="51"/>
      <c r="BV665" s="51"/>
      <c r="BW665" s="51"/>
      <c r="BX665" s="51"/>
      <c r="BY665" s="51"/>
      <c r="BZ665" s="51"/>
      <c r="CA665" s="51"/>
      <c r="CB665" s="51"/>
      <c r="CC665" s="51"/>
      <c r="CD665" s="51"/>
      <c r="CE665" s="51"/>
      <c r="CF665" s="51"/>
      <c r="CG665" s="51"/>
    </row>
    <row r="666" ht="30.0"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c r="BA666" s="51"/>
      <c r="BB666" s="51"/>
      <c r="BC666" s="51"/>
      <c r="BD666" s="51"/>
      <c r="BE666" s="51"/>
      <c r="BF666" s="51"/>
      <c r="BG666" s="51"/>
      <c r="BH666" s="51"/>
      <c r="BI666" s="51"/>
      <c r="BJ666" s="51"/>
      <c r="BK666" s="51"/>
      <c r="BL666" s="51"/>
      <c r="BM666" s="51"/>
      <c r="BN666" s="51"/>
      <c r="BO666" s="51"/>
      <c r="BP666" s="51"/>
      <c r="BQ666" s="51"/>
      <c r="BR666" s="51"/>
      <c r="BS666" s="51"/>
      <c r="BT666" s="51"/>
      <c r="BU666" s="51"/>
      <c r="BV666" s="51"/>
      <c r="BW666" s="51"/>
      <c r="BX666" s="51"/>
      <c r="BY666" s="51"/>
      <c r="BZ666" s="51"/>
      <c r="CA666" s="51"/>
      <c r="CB666" s="51"/>
      <c r="CC666" s="51"/>
      <c r="CD666" s="51"/>
      <c r="CE666" s="51"/>
      <c r="CF666" s="51"/>
      <c r="CG666" s="51"/>
    </row>
    <row r="667" ht="30.0"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c r="BA667" s="51"/>
      <c r="BB667" s="51"/>
      <c r="BC667" s="51"/>
      <c r="BD667" s="51"/>
      <c r="BE667" s="51"/>
      <c r="BF667" s="51"/>
      <c r="BG667" s="51"/>
      <c r="BH667" s="51"/>
      <c r="BI667" s="51"/>
      <c r="BJ667" s="51"/>
      <c r="BK667" s="51"/>
      <c r="BL667" s="51"/>
      <c r="BM667" s="51"/>
      <c r="BN667" s="51"/>
      <c r="BO667" s="51"/>
      <c r="BP667" s="51"/>
      <c r="BQ667" s="51"/>
      <c r="BR667" s="51"/>
      <c r="BS667" s="51"/>
      <c r="BT667" s="51"/>
      <c r="BU667" s="51"/>
      <c r="BV667" s="51"/>
      <c r="BW667" s="51"/>
      <c r="BX667" s="51"/>
      <c r="BY667" s="51"/>
      <c r="BZ667" s="51"/>
      <c r="CA667" s="51"/>
      <c r="CB667" s="51"/>
      <c r="CC667" s="51"/>
      <c r="CD667" s="51"/>
      <c r="CE667" s="51"/>
      <c r="CF667" s="51"/>
      <c r="CG667" s="51"/>
    </row>
    <row r="668" ht="30.0"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c r="BA668" s="51"/>
      <c r="BB668" s="51"/>
      <c r="BC668" s="51"/>
      <c r="BD668" s="51"/>
      <c r="BE668" s="51"/>
      <c r="BF668" s="51"/>
      <c r="BG668" s="51"/>
      <c r="BH668" s="51"/>
      <c r="BI668" s="51"/>
      <c r="BJ668" s="51"/>
      <c r="BK668" s="51"/>
      <c r="BL668" s="51"/>
      <c r="BM668" s="51"/>
      <c r="BN668" s="51"/>
      <c r="BO668" s="51"/>
      <c r="BP668" s="51"/>
      <c r="BQ668" s="51"/>
      <c r="BR668" s="51"/>
      <c r="BS668" s="51"/>
      <c r="BT668" s="51"/>
      <c r="BU668" s="51"/>
      <c r="BV668" s="51"/>
      <c r="BW668" s="51"/>
      <c r="BX668" s="51"/>
      <c r="BY668" s="51"/>
      <c r="BZ668" s="51"/>
      <c r="CA668" s="51"/>
      <c r="CB668" s="51"/>
      <c r="CC668" s="51"/>
      <c r="CD668" s="51"/>
      <c r="CE668" s="51"/>
      <c r="CF668" s="51"/>
      <c r="CG668" s="51"/>
    </row>
    <row r="669" ht="30.0"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c r="BA669" s="51"/>
      <c r="BB669" s="51"/>
      <c r="BC669" s="51"/>
      <c r="BD669" s="51"/>
      <c r="BE669" s="51"/>
      <c r="BF669" s="51"/>
      <c r="BG669" s="51"/>
      <c r="BH669" s="51"/>
      <c r="BI669" s="51"/>
      <c r="BJ669" s="51"/>
      <c r="BK669" s="51"/>
      <c r="BL669" s="51"/>
      <c r="BM669" s="51"/>
      <c r="BN669" s="51"/>
      <c r="BO669" s="51"/>
      <c r="BP669" s="51"/>
      <c r="BQ669" s="51"/>
      <c r="BR669" s="51"/>
      <c r="BS669" s="51"/>
      <c r="BT669" s="51"/>
      <c r="BU669" s="51"/>
      <c r="BV669" s="51"/>
      <c r="BW669" s="51"/>
      <c r="BX669" s="51"/>
      <c r="BY669" s="51"/>
      <c r="BZ669" s="51"/>
      <c r="CA669" s="51"/>
      <c r="CB669" s="51"/>
      <c r="CC669" s="51"/>
      <c r="CD669" s="51"/>
      <c r="CE669" s="51"/>
      <c r="CF669" s="51"/>
      <c r="CG669" s="51"/>
    </row>
    <row r="670" ht="30.0"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c r="BA670" s="51"/>
      <c r="BB670" s="51"/>
      <c r="BC670" s="51"/>
      <c r="BD670" s="51"/>
      <c r="BE670" s="51"/>
      <c r="BF670" s="51"/>
      <c r="BG670" s="51"/>
      <c r="BH670" s="51"/>
      <c r="BI670" s="51"/>
      <c r="BJ670" s="51"/>
      <c r="BK670" s="51"/>
      <c r="BL670" s="51"/>
      <c r="BM670" s="51"/>
      <c r="BN670" s="51"/>
      <c r="BO670" s="51"/>
      <c r="BP670" s="51"/>
      <c r="BQ670" s="51"/>
      <c r="BR670" s="51"/>
      <c r="BS670" s="51"/>
      <c r="BT670" s="51"/>
      <c r="BU670" s="51"/>
      <c r="BV670" s="51"/>
      <c r="BW670" s="51"/>
      <c r="BX670" s="51"/>
      <c r="BY670" s="51"/>
      <c r="BZ670" s="51"/>
      <c r="CA670" s="51"/>
      <c r="CB670" s="51"/>
      <c r="CC670" s="51"/>
      <c r="CD670" s="51"/>
      <c r="CE670" s="51"/>
      <c r="CF670" s="51"/>
      <c r="CG670" s="51"/>
    </row>
    <row r="671" ht="30.0"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c r="BA671" s="51"/>
      <c r="BB671" s="51"/>
      <c r="BC671" s="51"/>
      <c r="BD671" s="51"/>
      <c r="BE671" s="51"/>
      <c r="BF671" s="51"/>
      <c r="BG671" s="51"/>
      <c r="BH671" s="51"/>
      <c r="BI671" s="51"/>
      <c r="BJ671" s="51"/>
      <c r="BK671" s="51"/>
      <c r="BL671" s="51"/>
      <c r="BM671" s="51"/>
      <c r="BN671" s="51"/>
      <c r="BO671" s="51"/>
      <c r="BP671" s="51"/>
      <c r="BQ671" s="51"/>
      <c r="BR671" s="51"/>
      <c r="BS671" s="51"/>
      <c r="BT671" s="51"/>
      <c r="BU671" s="51"/>
      <c r="BV671" s="51"/>
      <c r="BW671" s="51"/>
      <c r="BX671" s="51"/>
      <c r="BY671" s="51"/>
      <c r="BZ671" s="51"/>
      <c r="CA671" s="51"/>
      <c r="CB671" s="51"/>
      <c r="CC671" s="51"/>
      <c r="CD671" s="51"/>
      <c r="CE671" s="51"/>
      <c r="CF671" s="51"/>
      <c r="CG671" s="51"/>
    </row>
    <row r="672" ht="30.0"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c r="BA672" s="51"/>
      <c r="BB672" s="51"/>
      <c r="BC672" s="51"/>
      <c r="BD672" s="51"/>
      <c r="BE672" s="51"/>
      <c r="BF672" s="51"/>
      <c r="BG672" s="51"/>
      <c r="BH672" s="51"/>
      <c r="BI672" s="51"/>
      <c r="BJ672" s="51"/>
      <c r="BK672" s="51"/>
      <c r="BL672" s="51"/>
      <c r="BM672" s="51"/>
      <c r="BN672" s="51"/>
      <c r="BO672" s="51"/>
      <c r="BP672" s="51"/>
      <c r="BQ672" s="51"/>
      <c r="BR672" s="51"/>
      <c r="BS672" s="51"/>
      <c r="BT672" s="51"/>
      <c r="BU672" s="51"/>
      <c r="BV672" s="51"/>
      <c r="BW672" s="51"/>
      <c r="BX672" s="51"/>
      <c r="BY672" s="51"/>
      <c r="BZ672" s="51"/>
      <c r="CA672" s="51"/>
      <c r="CB672" s="51"/>
      <c r="CC672" s="51"/>
      <c r="CD672" s="51"/>
      <c r="CE672" s="51"/>
      <c r="CF672" s="51"/>
      <c r="CG672" s="51"/>
    </row>
    <row r="673" ht="30.0"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c r="BA673" s="51"/>
      <c r="BB673" s="51"/>
      <c r="BC673" s="51"/>
      <c r="BD673" s="51"/>
      <c r="BE673" s="51"/>
      <c r="BF673" s="51"/>
      <c r="BG673" s="51"/>
      <c r="BH673" s="51"/>
      <c r="BI673" s="51"/>
      <c r="BJ673" s="51"/>
      <c r="BK673" s="51"/>
      <c r="BL673" s="51"/>
      <c r="BM673" s="51"/>
      <c r="BN673" s="51"/>
      <c r="BO673" s="51"/>
      <c r="BP673" s="51"/>
      <c r="BQ673" s="51"/>
      <c r="BR673" s="51"/>
      <c r="BS673" s="51"/>
      <c r="BT673" s="51"/>
      <c r="BU673" s="51"/>
      <c r="BV673" s="51"/>
      <c r="BW673" s="51"/>
      <c r="BX673" s="51"/>
      <c r="BY673" s="51"/>
      <c r="BZ673" s="51"/>
      <c r="CA673" s="51"/>
      <c r="CB673" s="51"/>
      <c r="CC673" s="51"/>
      <c r="CD673" s="51"/>
      <c r="CE673" s="51"/>
      <c r="CF673" s="51"/>
      <c r="CG673" s="51"/>
    </row>
    <row r="674" ht="30.0"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c r="BA674" s="51"/>
      <c r="BB674" s="51"/>
      <c r="BC674" s="51"/>
      <c r="BD674" s="51"/>
      <c r="BE674" s="51"/>
      <c r="BF674" s="51"/>
      <c r="BG674" s="51"/>
      <c r="BH674" s="51"/>
      <c r="BI674" s="51"/>
      <c r="BJ674" s="51"/>
      <c r="BK674" s="51"/>
      <c r="BL674" s="51"/>
      <c r="BM674" s="51"/>
      <c r="BN674" s="51"/>
      <c r="BO674" s="51"/>
      <c r="BP674" s="51"/>
      <c r="BQ674" s="51"/>
      <c r="BR674" s="51"/>
      <c r="BS674" s="51"/>
      <c r="BT674" s="51"/>
      <c r="BU674" s="51"/>
      <c r="BV674" s="51"/>
      <c r="BW674" s="51"/>
      <c r="BX674" s="51"/>
      <c r="BY674" s="51"/>
      <c r="BZ674" s="51"/>
      <c r="CA674" s="51"/>
      <c r="CB674" s="51"/>
      <c r="CC674" s="51"/>
      <c r="CD674" s="51"/>
      <c r="CE674" s="51"/>
      <c r="CF674" s="51"/>
      <c r="CG674" s="51"/>
    </row>
    <row r="675" ht="30.0"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c r="BA675" s="51"/>
      <c r="BB675" s="51"/>
      <c r="BC675" s="51"/>
      <c r="BD675" s="51"/>
      <c r="BE675" s="51"/>
      <c r="BF675" s="51"/>
      <c r="BG675" s="51"/>
      <c r="BH675" s="51"/>
      <c r="BI675" s="51"/>
      <c r="BJ675" s="51"/>
      <c r="BK675" s="51"/>
      <c r="BL675" s="51"/>
      <c r="BM675" s="51"/>
      <c r="BN675" s="51"/>
      <c r="BO675" s="51"/>
      <c r="BP675" s="51"/>
      <c r="BQ675" s="51"/>
      <c r="BR675" s="51"/>
      <c r="BS675" s="51"/>
      <c r="BT675" s="51"/>
      <c r="BU675" s="51"/>
      <c r="BV675" s="51"/>
      <c r="BW675" s="51"/>
      <c r="BX675" s="51"/>
      <c r="BY675" s="51"/>
      <c r="BZ675" s="51"/>
      <c r="CA675" s="51"/>
      <c r="CB675" s="51"/>
      <c r="CC675" s="51"/>
      <c r="CD675" s="51"/>
      <c r="CE675" s="51"/>
      <c r="CF675" s="51"/>
      <c r="CG675" s="51"/>
    </row>
    <row r="676" ht="30.0"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c r="BA676" s="51"/>
      <c r="BB676" s="51"/>
      <c r="BC676" s="51"/>
      <c r="BD676" s="51"/>
      <c r="BE676" s="51"/>
      <c r="BF676" s="51"/>
      <c r="BG676" s="51"/>
      <c r="BH676" s="51"/>
      <c r="BI676" s="51"/>
      <c r="BJ676" s="51"/>
      <c r="BK676" s="51"/>
      <c r="BL676" s="51"/>
      <c r="BM676" s="51"/>
      <c r="BN676" s="51"/>
      <c r="BO676" s="51"/>
      <c r="BP676" s="51"/>
      <c r="BQ676" s="51"/>
      <c r="BR676" s="51"/>
      <c r="BS676" s="51"/>
      <c r="BT676" s="51"/>
      <c r="BU676" s="51"/>
      <c r="BV676" s="51"/>
      <c r="BW676" s="51"/>
      <c r="BX676" s="51"/>
      <c r="BY676" s="51"/>
      <c r="BZ676" s="51"/>
      <c r="CA676" s="51"/>
      <c r="CB676" s="51"/>
      <c r="CC676" s="51"/>
      <c r="CD676" s="51"/>
      <c r="CE676" s="51"/>
      <c r="CF676" s="51"/>
      <c r="CG676" s="51"/>
    </row>
    <row r="677" ht="30.0"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c r="BA677" s="51"/>
      <c r="BB677" s="51"/>
      <c r="BC677" s="51"/>
      <c r="BD677" s="51"/>
      <c r="BE677" s="51"/>
      <c r="BF677" s="51"/>
      <c r="BG677" s="51"/>
      <c r="BH677" s="51"/>
      <c r="BI677" s="51"/>
      <c r="BJ677" s="51"/>
      <c r="BK677" s="51"/>
      <c r="BL677" s="51"/>
      <c r="BM677" s="51"/>
      <c r="BN677" s="51"/>
      <c r="BO677" s="51"/>
      <c r="BP677" s="51"/>
      <c r="BQ677" s="51"/>
      <c r="BR677" s="51"/>
      <c r="BS677" s="51"/>
      <c r="BT677" s="51"/>
      <c r="BU677" s="51"/>
      <c r="BV677" s="51"/>
      <c r="BW677" s="51"/>
      <c r="BX677" s="51"/>
      <c r="BY677" s="51"/>
      <c r="BZ677" s="51"/>
      <c r="CA677" s="51"/>
      <c r="CB677" s="51"/>
      <c r="CC677" s="51"/>
      <c r="CD677" s="51"/>
      <c r="CE677" s="51"/>
      <c r="CF677" s="51"/>
      <c r="CG677" s="51"/>
    </row>
    <row r="678" ht="30.0"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c r="BA678" s="51"/>
      <c r="BB678" s="51"/>
      <c r="BC678" s="51"/>
      <c r="BD678" s="51"/>
      <c r="BE678" s="51"/>
      <c r="BF678" s="51"/>
      <c r="BG678" s="51"/>
      <c r="BH678" s="51"/>
      <c r="BI678" s="51"/>
      <c r="BJ678" s="51"/>
      <c r="BK678" s="51"/>
      <c r="BL678" s="51"/>
      <c r="BM678" s="51"/>
      <c r="BN678" s="51"/>
      <c r="BO678" s="51"/>
      <c r="BP678" s="51"/>
      <c r="BQ678" s="51"/>
      <c r="BR678" s="51"/>
      <c r="BS678" s="51"/>
      <c r="BT678" s="51"/>
      <c r="BU678" s="51"/>
      <c r="BV678" s="51"/>
      <c r="BW678" s="51"/>
      <c r="BX678" s="51"/>
      <c r="BY678" s="51"/>
      <c r="BZ678" s="51"/>
      <c r="CA678" s="51"/>
      <c r="CB678" s="51"/>
      <c r="CC678" s="51"/>
      <c r="CD678" s="51"/>
      <c r="CE678" s="51"/>
      <c r="CF678" s="51"/>
      <c r="CG678" s="51"/>
    </row>
    <row r="679" ht="30.0"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c r="BA679" s="51"/>
      <c r="BB679" s="51"/>
      <c r="BC679" s="51"/>
      <c r="BD679" s="51"/>
      <c r="BE679" s="51"/>
      <c r="BF679" s="51"/>
      <c r="BG679" s="51"/>
      <c r="BH679" s="51"/>
      <c r="BI679" s="51"/>
      <c r="BJ679" s="51"/>
      <c r="BK679" s="51"/>
      <c r="BL679" s="51"/>
      <c r="BM679" s="51"/>
      <c r="BN679" s="51"/>
      <c r="BO679" s="51"/>
      <c r="BP679" s="51"/>
      <c r="BQ679" s="51"/>
      <c r="BR679" s="51"/>
      <c r="BS679" s="51"/>
      <c r="BT679" s="51"/>
      <c r="BU679" s="51"/>
      <c r="BV679" s="51"/>
      <c r="BW679" s="51"/>
      <c r="BX679" s="51"/>
      <c r="BY679" s="51"/>
      <c r="BZ679" s="51"/>
      <c r="CA679" s="51"/>
      <c r="CB679" s="51"/>
      <c r="CC679" s="51"/>
      <c r="CD679" s="51"/>
      <c r="CE679" s="51"/>
      <c r="CF679" s="51"/>
      <c r="CG679" s="51"/>
    </row>
    <row r="680" ht="30.0"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c r="BA680" s="51"/>
      <c r="BB680" s="51"/>
      <c r="BC680" s="51"/>
      <c r="BD680" s="51"/>
      <c r="BE680" s="51"/>
      <c r="BF680" s="51"/>
      <c r="BG680" s="51"/>
      <c r="BH680" s="51"/>
      <c r="BI680" s="51"/>
      <c r="BJ680" s="51"/>
      <c r="BK680" s="51"/>
      <c r="BL680" s="51"/>
      <c r="BM680" s="51"/>
      <c r="BN680" s="51"/>
      <c r="BO680" s="51"/>
      <c r="BP680" s="51"/>
      <c r="BQ680" s="51"/>
      <c r="BR680" s="51"/>
      <c r="BS680" s="51"/>
      <c r="BT680" s="51"/>
      <c r="BU680" s="51"/>
      <c r="BV680" s="51"/>
      <c r="BW680" s="51"/>
      <c r="BX680" s="51"/>
      <c r="BY680" s="51"/>
      <c r="BZ680" s="51"/>
      <c r="CA680" s="51"/>
      <c r="CB680" s="51"/>
      <c r="CC680" s="51"/>
      <c r="CD680" s="51"/>
      <c r="CE680" s="51"/>
      <c r="CF680" s="51"/>
      <c r="CG680" s="51"/>
    </row>
    <row r="681" ht="30.0"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c r="BA681" s="51"/>
      <c r="BB681" s="51"/>
      <c r="BC681" s="51"/>
      <c r="BD681" s="51"/>
      <c r="BE681" s="51"/>
      <c r="BF681" s="51"/>
      <c r="BG681" s="51"/>
      <c r="BH681" s="51"/>
      <c r="BI681" s="51"/>
      <c r="BJ681" s="51"/>
      <c r="BK681" s="51"/>
      <c r="BL681" s="51"/>
      <c r="BM681" s="51"/>
      <c r="BN681" s="51"/>
      <c r="BO681" s="51"/>
      <c r="BP681" s="51"/>
      <c r="BQ681" s="51"/>
      <c r="BR681" s="51"/>
      <c r="BS681" s="51"/>
      <c r="BT681" s="51"/>
      <c r="BU681" s="51"/>
      <c r="BV681" s="51"/>
      <c r="BW681" s="51"/>
      <c r="BX681" s="51"/>
      <c r="BY681" s="51"/>
      <c r="BZ681" s="51"/>
      <c r="CA681" s="51"/>
      <c r="CB681" s="51"/>
      <c r="CC681" s="51"/>
      <c r="CD681" s="51"/>
      <c r="CE681" s="51"/>
      <c r="CF681" s="51"/>
      <c r="CG681" s="51"/>
    </row>
    <row r="682" ht="30.0"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c r="BA682" s="51"/>
      <c r="BB682" s="51"/>
      <c r="BC682" s="51"/>
      <c r="BD682" s="51"/>
      <c r="BE682" s="51"/>
      <c r="BF682" s="51"/>
      <c r="BG682" s="51"/>
      <c r="BH682" s="51"/>
      <c r="BI682" s="51"/>
      <c r="BJ682" s="51"/>
      <c r="BK682" s="51"/>
      <c r="BL682" s="51"/>
      <c r="BM682" s="51"/>
      <c r="BN682" s="51"/>
      <c r="BO682" s="51"/>
      <c r="BP682" s="51"/>
      <c r="BQ682" s="51"/>
      <c r="BR682" s="51"/>
      <c r="BS682" s="51"/>
      <c r="BT682" s="51"/>
      <c r="BU682" s="51"/>
      <c r="BV682" s="51"/>
      <c r="BW682" s="51"/>
      <c r="BX682" s="51"/>
      <c r="BY682" s="51"/>
      <c r="BZ682" s="51"/>
      <c r="CA682" s="51"/>
      <c r="CB682" s="51"/>
      <c r="CC682" s="51"/>
      <c r="CD682" s="51"/>
      <c r="CE682" s="51"/>
      <c r="CF682" s="51"/>
      <c r="CG682" s="51"/>
    </row>
    <row r="683" ht="30.0"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c r="BA683" s="51"/>
      <c r="BB683" s="51"/>
      <c r="BC683" s="51"/>
      <c r="BD683" s="51"/>
      <c r="BE683" s="51"/>
      <c r="BF683" s="51"/>
      <c r="BG683" s="51"/>
      <c r="BH683" s="51"/>
      <c r="BI683" s="51"/>
      <c r="BJ683" s="51"/>
      <c r="BK683" s="51"/>
      <c r="BL683" s="51"/>
      <c r="BM683" s="51"/>
      <c r="BN683" s="51"/>
      <c r="BO683" s="51"/>
      <c r="BP683" s="51"/>
      <c r="BQ683" s="51"/>
      <c r="BR683" s="51"/>
      <c r="BS683" s="51"/>
      <c r="BT683" s="51"/>
      <c r="BU683" s="51"/>
      <c r="BV683" s="51"/>
      <c r="BW683" s="51"/>
      <c r="BX683" s="51"/>
      <c r="BY683" s="51"/>
      <c r="BZ683" s="51"/>
      <c r="CA683" s="51"/>
      <c r="CB683" s="51"/>
      <c r="CC683" s="51"/>
      <c r="CD683" s="51"/>
      <c r="CE683" s="51"/>
      <c r="CF683" s="51"/>
      <c r="CG683" s="51"/>
    </row>
    <row r="684" ht="30.0"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c r="BA684" s="51"/>
      <c r="BB684" s="51"/>
      <c r="BC684" s="51"/>
      <c r="BD684" s="51"/>
      <c r="BE684" s="51"/>
      <c r="BF684" s="51"/>
      <c r="BG684" s="51"/>
      <c r="BH684" s="51"/>
      <c r="BI684" s="51"/>
      <c r="BJ684" s="51"/>
      <c r="BK684" s="51"/>
      <c r="BL684" s="51"/>
      <c r="BM684" s="51"/>
      <c r="BN684" s="51"/>
      <c r="BO684" s="51"/>
      <c r="BP684" s="51"/>
      <c r="BQ684" s="51"/>
      <c r="BR684" s="51"/>
      <c r="BS684" s="51"/>
      <c r="BT684" s="51"/>
      <c r="BU684" s="51"/>
      <c r="BV684" s="51"/>
      <c r="BW684" s="51"/>
      <c r="BX684" s="51"/>
      <c r="BY684" s="51"/>
      <c r="BZ684" s="51"/>
      <c r="CA684" s="51"/>
      <c r="CB684" s="51"/>
      <c r="CC684" s="51"/>
      <c r="CD684" s="51"/>
      <c r="CE684" s="51"/>
      <c r="CF684" s="51"/>
      <c r="CG684" s="51"/>
    </row>
    <row r="685" ht="30.0"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c r="BA685" s="51"/>
      <c r="BB685" s="51"/>
      <c r="BC685" s="51"/>
      <c r="BD685" s="51"/>
      <c r="BE685" s="51"/>
      <c r="BF685" s="51"/>
      <c r="BG685" s="51"/>
      <c r="BH685" s="51"/>
      <c r="BI685" s="51"/>
      <c r="BJ685" s="51"/>
      <c r="BK685" s="51"/>
      <c r="BL685" s="51"/>
      <c r="BM685" s="51"/>
      <c r="BN685" s="51"/>
      <c r="BO685" s="51"/>
      <c r="BP685" s="51"/>
      <c r="BQ685" s="51"/>
      <c r="BR685" s="51"/>
      <c r="BS685" s="51"/>
      <c r="BT685" s="51"/>
      <c r="BU685" s="51"/>
      <c r="BV685" s="51"/>
      <c r="BW685" s="51"/>
      <c r="BX685" s="51"/>
      <c r="BY685" s="51"/>
      <c r="BZ685" s="51"/>
      <c r="CA685" s="51"/>
      <c r="CB685" s="51"/>
      <c r="CC685" s="51"/>
      <c r="CD685" s="51"/>
      <c r="CE685" s="51"/>
      <c r="CF685" s="51"/>
      <c r="CG685" s="51"/>
    </row>
    <row r="686" ht="30.0"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c r="BA686" s="51"/>
      <c r="BB686" s="51"/>
      <c r="BC686" s="51"/>
      <c r="BD686" s="51"/>
      <c r="BE686" s="51"/>
      <c r="BF686" s="51"/>
      <c r="BG686" s="51"/>
      <c r="BH686" s="51"/>
      <c r="BI686" s="51"/>
      <c r="BJ686" s="51"/>
      <c r="BK686" s="51"/>
      <c r="BL686" s="51"/>
      <c r="BM686" s="51"/>
      <c r="BN686" s="51"/>
      <c r="BO686" s="51"/>
      <c r="BP686" s="51"/>
      <c r="BQ686" s="51"/>
      <c r="BR686" s="51"/>
      <c r="BS686" s="51"/>
      <c r="BT686" s="51"/>
      <c r="BU686" s="51"/>
      <c r="BV686" s="51"/>
      <c r="BW686" s="51"/>
      <c r="BX686" s="51"/>
      <c r="BY686" s="51"/>
      <c r="BZ686" s="51"/>
      <c r="CA686" s="51"/>
      <c r="CB686" s="51"/>
      <c r="CC686" s="51"/>
      <c r="CD686" s="51"/>
      <c r="CE686" s="51"/>
      <c r="CF686" s="51"/>
      <c r="CG686" s="51"/>
    </row>
    <row r="687" ht="30.0"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c r="BA687" s="51"/>
      <c r="BB687" s="51"/>
      <c r="BC687" s="51"/>
      <c r="BD687" s="51"/>
      <c r="BE687" s="51"/>
      <c r="BF687" s="51"/>
      <c r="BG687" s="51"/>
      <c r="BH687" s="51"/>
      <c r="BI687" s="51"/>
      <c r="BJ687" s="51"/>
      <c r="BK687" s="51"/>
      <c r="BL687" s="51"/>
      <c r="BM687" s="51"/>
      <c r="BN687" s="51"/>
      <c r="BO687" s="51"/>
      <c r="BP687" s="51"/>
      <c r="BQ687" s="51"/>
      <c r="BR687" s="51"/>
      <c r="BS687" s="51"/>
      <c r="BT687" s="51"/>
      <c r="BU687" s="51"/>
      <c r="BV687" s="51"/>
      <c r="BW687" s="51"/>
      <c r="BX687" s="51"/>
      <c r="BY687" s="51"/>
      <c r="BZ687" s="51"/>
      <c r="CA687" s="51"/>
      <c r="CB687" s="51"/>
      <c r="CC687" s="51"/>
      <c r="CD687" s="51"/>
      <c r="CE687" s="51"/>
      <c r="CF687" s="51"/>
      <c r="CG687" s="51"/>
    </row>
    <row r="688" ht="30.0"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c r="BA688" s="51"/>
      <c r="BB688" s="51"/>
      <c r="BC688" s="51"/>
      <c r="BD688" s="51"/>
      <c r="BE688" s="51"/>
      <c r="BF688" s="51"/>
      <c r="BG688" s="51"/>
      <c r="BH688" s="51"/>
      <c r="BI688" s="51"/>
      <c r="BJ688" s="51"/>
      <c r="BK688" s="51"/>
      <c r="BL688" s="51"/>
      <c r="BM688" s="51"/>
      <c r="BN688" s="51"/>
      <c r="BO688" s="51"/>
      <c r="BP688" s="51"/>
      <c r="BQ688" s="51"/>
      <c r="BR688" s="51"/>
      <c r="BS688" s="51"/>
      <c r="BT688" s="51"/>
      <c r="BU688" s="51"/>
      <c r="BV688" s="51"/>
      <c r="BW688" s="51"/>
      <c r="BX688" s="51"/>
      <c r="BY688" s="51"/>
      <c r="BZ688" s="51"/>
      <c r="CA688" s="51"/>
      <c r="CB688" s="51"/>
      <c r="CC688" s="51"/>
      <c r="CD688" s="51"/>
      <c r="CE688" s="51"/>
      <c r="CF688" s="51"/>
      <c r="CG688" s="51"/>
    </row>
    <row r="689" ht="30.0"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c r="BA689" s="51"/>
      <c r="BB689" s="51"/>
      <c r="BC689" s="51"/>
      <c r="BD689" s="51"/>
      <c r="BE689" s="51"/>
      <c r="BF689" s="51"/>
      <c r="BG689" s="51"/>
      <c r="BH689" s="51"/>
      <c r="BI689" s="51"/>
      <c r="BJ689" s="51"/>
      <c r="BK689" s="51"/>
      <c r="BL689" s="51"/>
      <c r="BM689" s="51"/>
      <c r="BN689" s="51"/>
      <c r="BO689" s="51"/>
      <c r="BP689" s="51"/>
      <c r="BQ689" s="51"/>
      <c r="BR689" s="51"/>
      <c r="BS689" s="51"/>
      <c r="BT689" s="51"/>
      <c r="BU689" s="51"/>
      <c r="BV689" s="51"/>
      <c r="BW689" s="51"/>
      <c r="BX689" s="51"/>
      <c r="BY689" s="51"/>
      <c r="BZ689" s="51"/>
      <c r="CA689" s="51"/>
      <c r="CB689" s="51"/>
      <c r="CC689" s="51"/>
      <c r="CD689" s="51"/>
      <c r="CE689" s="51"/>
      <c r="CF689" s="51"/>
      <c r="CG689" s="51"/>
    </row>
    <row r="690" ht="30.0"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c r="BA690" s="51"/>
      <c r="BB690" s="51"/>
      <c r="BC690" s="51"/>
      <c r="BD690" s="51"/>
      <c r="BE690" s="51"/>
      <c r="BF690" s="51"/>
      <c r="BG690" s="51"/>
      <c r="BH690" s="51"/>
      <c r="BI690" s="51"/>
      <c r="BJ690" s="51"/>
      <c r="BK690" s="51"/>
      <c r="BL690" s="51"/>
      <c r="BM690" s="51"/>
      <c r="BN690" s="51"/>
      <c r="BO690" s="51"/>
      <c r="BP690" s="51"/>
      <c r="BQ690" s="51"/>
      <c r="BR690" s="51"/>
      <c r="BS690" s="51"/>
      <c r="BT690" s="51"/>
      <c r="BU690" s="51"/>
      <c r="BV690" s="51"/>
      <c r="BW690" s="51"/>
      <c r="BX690" s="51"/>
      <c r="BY690" s="51"/>
      <c r="BZ690" s="51"/>
      <c r="CA690" s="51"/>
      <c r="CB690" s="51"/>
      <c r="CC690" s="51"/>
      <c r="CD690" s="51"/>
      <c r="CE690" s="51"/>
      <c r="CF690" s="51"/>
      <c r="CG690" s="51"/>
    </row>
    <row r="691" ht="30.0"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c r="BA691" s="51"/>
      <c r="BB691" s="51"/>
      <c r="BC691" s="51"/>
      <c r="BD691" s="51"/>
      <c r="BE691" s="51"/>
      <c r="BF691" s="51"/>
      <c r="BG691" s="51"/>
      <c r="BH691" s="51"/>
      <c r="BI691" s="51"/>
      <c r="BJ691" s="51"/>
      <c r="BK691" s="51"/>
      <c r="BL691" s="51"/>
      <c r="BM691" s="51"/>
      <c r="BN691" s="51"/>
      <c r="BO691" s="51"/>
      <c r="BP691" s="51"/>
      <c r="BQ691" s="51"/>
      <c r="BR691" s="51"/>
      <c r="BS691" s="51"/>
      <c r="BT691" s="51"/>
      <c r="BU691" s="51"/>
      <c r="BV691" s="51"/>
      <c r="BW691" s="51"/>
      <c r="BX691" s="51"/>
      <c r="BY691" s="51"/>
      <c r="BZ691" s="51"/>
      <c r="CA691" s="51"/>
      <c r="CB691" s="51"/>
      <c r="CC691" s="51"/>
      <c r="CD691" s="51"/>
      <c r="CE691" s="51"/>
      <c r="CF691" s="51"/>
      <c r="CG691" s="51"/>
    </row>
    <row r="692" ht="30.0"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c r="BA692" s="51"/>
      <c r="BB692" s="51"/>
      <c r="BC692" s="51"/>
      <c r="BD692" s="51"/>
      <c r="BE692" s="51"/>
      <c r="BF692" s="51"/>
      <c r="BG692" s="51"/>
      <c r="BH692" s="51"/>
      <c r="BI692" s="51"/>
      <c r="BJ692" s="51"/>
      <c r="BK692" s="51"/>
      <c r="BL692" s="51"/>
      <c r="BM692" s="51"/>
      <c r="BN692" s="51"/>
      <c r="BO692" s="51"/>
      <c r="BP692" s="51"/>
      <c r="BQ692" s="51"/>
      <c r="BR692" s="51"/>
      <c r="BS692" s="51"/>
      <c r="BT692" s="51"/>
      <c r="BU692" s="51"/>
      <c r="BV692" s="51"/>
      <c r="BW692" s="51"/>
      <c r="BX692" s="51"/>
      <c r="BY692" s="51"/>
      <c r="BZ692" s="51"/>
      <c r="CA692" s="51"/>
      <c r="CB692" s="51"/>
      <c r="CC692" s="51"/>
      <c r="CD692" s="51"/>
      <c r="CE692" s="51"/>
      <c r="CF692" s="51"/>
      <c r="CG692" s="51"/>
    </row>
    <row r="693" ht="30.0"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c r="BA693" s="51"/>
      <c r="BB693" s="51"/>
      <c r="BC693" s="51"/>
      <c r="BD693" s="51"/>
      <c r="BE693" s="51"/>
      <c r="BF693" s="51"/>
      <c r="BG693" s="51"/>
      <c r="BH693" s="51"/>
      <c r="BI693" s="51"/>
      <c r="BJ693" s="51"/>
      <c r="BK693" s="51"/>
      <c r="BL693" s="51"/>
      <c r="BM693" s="51"/>
      <c r="BN693" s="51"/>
      <c r="BO693" s="51"/>
      <c r="BP693" s="51"/>
      <c r="BQ693" s="51"/>
      <c r="BR693" s="51"/>
      <c r="BS693" s="51"/>
      <c r="BT693" s="51"/>
      <c r="BU693" s="51"/>
      <c r="BV693" s="51"/>
      <c r="BW693" s="51"/>
      <c r="BX693" s="51"/>
      <c r="BY693" s="51"/>
      <c r="BZ693" s="51"/>
      <c r="CA693" s="51"/>
      <c r="CB693" s="51"/>
      <c r="CC693" s="51"/>
      <c r="CD693" s="51"/>
      <c r="CE693" s="51"/>
      <c r="CF693" s="51"/>
      <c r="CG693" s="51"/>
    </row>
    <row r="694" ht="30.0"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c r="BA694" s="51"/>
      <c r="BB694" s="51"/>
      <c r="BC694" s="51"/>
      <c r="BD694" s="51"/>
      <c r="BE694" s="51"/>
      <c r="BF694" s="51"/>
      <c r="BG694" s="51"/>
      <c r="BH694" s="51"/>
      <c r="BI694" s="51"/>
      <c r="BJ694" s="51"/>
      <c r="BK694" s="51"/>
      <c r="BL694" s="51"/>
      <c r="BM694" s="51"/>
      <c r="BN694" s="51"/>
      <c r="BO694" s="51"/>
      <c r="BP694" s="51"/>
      <c r="BQ694" s="51"/>
      <c r="BR694" s="51"/>
      <c r="BS694" s="51"/>
      <c r="BT694" s="51"/>
      <c r="BU694" s="51"/>
      <c r="BV694" s="51"/>
      <c r="BW694" s="51"/>
      <c r="BX694" s="51"/>
      <c r="BY694" s="51"/>
      <c r="BZ694" s="51"/>
      <c r="CA694" s="51"/>
      <c r="CB694" s="51"/>
      <c r="CC694" s="51"/>
      <c r="CD694" s="51"/>
      <c r="CE694" s="51"/>
      <c r="CF694" s="51"/>
      <c r="CG694" s="51"/>
    </row>
    <row r="695" ht="30.0"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c r="BA695" s="51"/>
      <c r="BB695" s="51"/>
      <c r="BC695" s="51"/>
      <c r="BD695" s="51"/>
      <c r="BE695" s="51"/>
      <c r="BF695" s="51"/>
      <c r="BG695" s="51"/>
      <c r="BH695" s="51"/>
      <c r="BI695" s="51"/>
      <c r="BJ695" s="51"/>
      <c r="BK695" s="51"/>
      <c r="BL695" s="51"/>
      <c r="BM695" s="51"/>
      <c r="BN695" s="51"/>
      <c r="BO695" s="51"/>
      <c r="BP695" s="51"/>
      <c r="BQ695" s="51"/>
      <c r="BR695" s="51"/>
      <c r="BS695" s="51"/>
      <c r="BT695" s="51"/>
      <c r="BU695" s="51"/>
      <c r="BV695" s="51"/>
      <c r="BW695" s="51"/>
      <c r="BX695" s="51"/>
      <c r="BY695" s="51"/>
      <c r="BZ695" s="51"/>
      <c r="CA695" s="51"/>
      <c r="CB695" s="51"/>
      <c r="CC695" s="51"/>
      <c r="CD695" s="51"/>
      <c r="CE695" s="51"/>
      <c r="CF695" s="51"/>
      <c r="CG695" s="51"/>
    </row>
    <row r="696" ht="30.0"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c r="BA696" s="51"/>
      <c r="BB696" s="51"/>
      <c r="BC696" s="51"/>
      <c r="BD696" s="51"/>
      <c r="BE696" s="51"/>
      <c r="BF696" s="51"/>
      <c r="BG696" s="51"/>
      <c r="BH696" s="51"/>
      <c r="BI696" s="51"/>
      <c r="BJ696" s="51"/>
      <c r="BK696" s="51"/>
      <c r="BL696" s="51"/>
      <c r="BM696" s="51"/>
      <c r="BN696" s="51"/>
      <c r="BO696" s="51"/>
      <c r="BP696" s="51"/>
      <c r="BQ696" s="51"/>
      <c r="BR696" s="51"/>
      <c r="BS696" s="51"/>
      <c r="BT696" s="51"/>
      <c r="BU696" s="51"/>
      <c r="BV696" s="51"/>
      <c r="BW696" s="51"/>
      <c r="BX696" s="51"/>
      <c r="BY696" s="51"/>
      <c r="BZ696" s="51"/>
      <c r="CA696" s="51"/>
      <c r="CB696" s="51"/>
      <c r="CC696" s="51"/>
      <c r="CD696" s="51"/>
      <c r="CE696" s="51"/>
      <c r="CF696" s="51"/>
      <c r="CG696" s="51"/>
    </row>
    <row r="697" ht="30.0"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c r="BA697" s="51"/>
      <c r="BB697" s="51"/>
      <c r="BC697" s="51"/>
      <c r="BD697" s="51"/>
      <c r="BE697" s="51"/>
      <c r="BF697" s="51"/>
      <c r="BG697" s="51"/>
      <c r="BH697" s="51"/>
      <c r="BI697" s="51"/>
      <c r="BJ697" s="51"/>
      <c r="BK697" s="51"/>
      <c r="BL697" s="51"/>
      <c r="BM697" s="51"/>
      <c r="BN697" s="51"/>
      <c r="BO697" s="51"/>
      <c r="BP697" s="51"/>
      <c r="BQ697" s="51"/>
      <c r="BR697" s="51"/>
      <c r="BS697" s="51"/>
      <c r="BT697" s="51"/>
      <c r="BU697" s="51"/>
      <c r="BV697" s="51"/>
      <c r="BW697" s="51"/>
      <c r="BX697" s="51"/>
      <c r="BY697" s="51"/>
      <c r="BZ697" s="51"/>
      <c r="CA697" s="51"/>
      <c r="CB697" s="51"/>
      <c r="CC697" s="51"/>
      <c r="CD697" s="51"/>
      <c r="CE697" s="51"/>
      <c r="CF697" s="51"/>
      <c r="CG697" s="51"/>
    </row>
    <row r="698" ht="30.0"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c r="BA698" s="51"/>
      <c r="BB698" s="51"/>
      <c r="BC698" s="51"/>
      <c r="BD698" s="51"/>
      <c r="BE698" s="51"/>
      <c r="BF698" s="51"/>
      <c r="BG698" s="51"/>
      <c r="BH698" s="51"/>
      <c r="BI698" s="51"/>
      <c r="BJ698" s="51"/>
      <c r="BK698" s="51"/>
      <c r="BL698" s="51"/>
      <c r="BM698" s="51"/>
      <c r="BN698" s="51"/>
      <c r="BO698" s="51"/>
      <c r="BP698" s="51"/>
      <c r="BQ698" s="51"/>
      <c r="BR698" s="51"/>
      <c r="BS698" s="51"/>
      <c r="BT698" s="51"/>
      <c r="BU698" s="51"/>
      <c r="BV698" s="51"/>
      <c r="BW698" s="51"/>
      <c r="BX698" s="51"/>
      <c r="BY698" s="51"/>
      <c r="BZ698" s="51"/>
      <c r="CA698" s="51"/>
      <c r="CB698" s="51"/>
      <c r="CC698" s="51"/>
      <c r="CD698" s="51"/>
      <c r="CE698" s="51"/>
      <c r="CF698" s="51"/>
      <c r="CG698" s="51"/>
    </row>
    <row r="699" ht="30.0"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c r="BA699" s="51"/>
      <c r="BB699" s="51"/>
      <c r="BC699" s="51"/>
      <c r="BD699" s="51"/>
      <c r="BE699" s="51"/>
      <c r="BF699" s="51"/>
      <c r="BG699" s="51"/>
      <c r="BH699" s="51"/>
      <c r="BI699" s="51"/>
      <c r="BJ699" s="51"/>
      <c r="BK699" s="51"/>
      <c r="BL699" s="51"/>
      <c r="BM699" s="51"/>
      <c r="BN699" s="51"/>
      <c r="BO699" s="51"/>
      <c r="BP699" s="51"/>
      <c r="BQ699" s="51"/>
      <c r="BR699" s="51"/>
      <c r="BS699" s="51"/>
      <c r="BT699" s="51"/>
      <c r="BU699" s="51"/>
      <c r="BV699" s="51"/>
      <c r="BW699" s="51"/>
      <c r="BX699" s="51"/>
      <c r="BY699" s="51"/>
      <c r="BZ699" s="51"/>
      <c r="CA699" s="51"/>
      <c r="CB699" s="51"/>
      <c r="CC699" s="51"/>
      <c r="CD699" s="51"/>
      <c r="CE699" s="51"/>
      <c r="CF699" s="51"/>
      <c r="CG699" s="51"/>
    </row>
    <row r="700" ht="30.0"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c r="BA700" s="51"/>
      <c r="BB700" s="51"/>
      <c r="BC700" s="51"/>
      <c r="BD700" s="51"/>
      <c r="BE700" s="51"/>
      <c r="BF700" s="51"/>
      <c r="BG700" s="51"/>
      <c r="BH700" s="51"/>
      <c r="BI700" s="51"/>
      <c r="BJ700" s="51"/>
      <c r="BK700" s="51"/>
      <c r="BL700" s="51"/>
      <c r="BM700" s="51"/>
      <c r="BN700" s="51"/>
      <c r="BO700" s="51"/>
      <c r="BP700" s="51"/>
      <c r="BQ700" s="51"/>
      <c r="BR700" s="51"/>
      <c r="BS700" s="51"/>
      <c r="BT700" s="51"/>
      <c r="BU700" s="51"/>
      <c r="BV700" s="51"/>
      <c r="BW700" s="51"/>
      <c r="BX700" s="51"/>
      <c r="BY700" s="51"/>
      <c r="BZ700" s="51"/>
      <c r="CA700" s="51"/>
      <c r="CB700" s="51"/>
      <c r="CC700" s="51"/>
      <c r="CD700" s="51"/>
      <c r="CE700" s="51"/>
      <c r="CF700" s="51"/>
      <c r="CG700" s="51"/>
    </row>
    <row r="701" ht="30.0"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c r="BA701" s="51"/>
      <c r="BB701" s="51"/>
      <c r="BC701" s="51"/>
      <c r="BD701" s="51"/>
      <c r="BE701" s="51"/>
      <c r="BF701" s="51"/>
      <c r="BG701" s="51"/>
      <c r="BH701" s="51"/>
      <c r="BI701" s="51"/>
      <c r="BJ701" s="51"/>
      <c r="BK701" s="51"/>
      <c r="BL701" s="51"/>
      <c r="BM701" s="51"/>
      <c r="BN701" s="51"/>
      <c r="BO701" s="51"/>
      <c r="BP701" s="51"/>
      <c r="BQ701" s="51"/>
      <c r="BR701" s="51"/>
      <c r="BS701" s="51"/>
      <c r="BT701" s="51"/>
      <c r="BU701" s="51"/>
      <c r="BV701" s="51"/>
      <c r="BW701" s="51"/>
      <c r="BX701" s="51"/>
      <c r="BY701" s="51"/>
      <c r="BZ701" s="51"/>
      <c r="CA701" s="51"/>
      <c r="CB701" s="51"/>
      <c r="CC701" s="51"/>
      <c r="CD701" s="51"/>
      <c r="CE701" s="51"/>
      <c r="CF701" s="51"/>
      <c r="CG701" s="51"/>
    </row>
    <row r="702" ht="30.0"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c r="BA702" s="51"/>
      <c r="BB702" s="51"/>
      <c r="BC702" s="51"/>
      <c r="BD702" s="51"/>
      <c r="BE702" s="51"/>
      <c r="BF702" s="51"/>
      <c r="BG702" s="51"/>
      <c r="BH702" s="51"/>
      <c r="BI702" s="51"/>
      <c r="BJ702" s="51"/>
      <c r="BK702" s="51"/>
      <c r="BL702" s="51"/>
      <c r="BM702" s="51"/>
      <c r="BN702" s="51"/>
      <c r="BO702" s="51"/>
      <c r="BP702" s="51"/>
      <c r="BQ702" s="51"/>
      <c r="BR702" s="51"/>
      <c r="BS702" s="51"/>
      <c r="BT702" s="51"/>
      <c r="BU702" s="51"/>
      <c r="BV702" s="51"/>
      <c r="BW702" s="51"/>
      <c r="BX702" s="51"/>
      <c r="BY702" s="51"/>
      <c r="BZ702" s="51"/>
      <c r="CA702" s="51"/>
      <c r="CB702" s="51"/>
      <c r="CC702" s="51"/>
      <c r="CD702" s="51"/>
      <c r="CE702" s="51"/>
      <c r="CF702" s="51"/>
      <c r="CG702" s="51"/>
    </row>
    <row r="703" ht="30.0"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c r="BA703" s="51"/>
      <c r="BB703" s="51"/>
      <c r="BC703" s="51"/>
      <c r="BD703" s="51"/>
      <c r="BE703" s="51"/>
      <c r="BF703" s="51"/>
      <c r="BG703" s="51"/>
      <c r="BH703" s="51"/>
      <c r="BI703" s="51"/>
      <c r="BJ703" s="51"/>
      <c r="BK703" s="51"/>
      <c r="BL703" s="51"/>
      <c r="BM703" s="51"/>
      <c r="BN703" s="51"/>
      <c r="BO703" s="51"/>
      <c r="BP703" s="51"/>
      <c r="BQ703" s="51"/>
      <c r="BR703" s="51"/>
      <c r="BS703" s="51"/>
      <c r="BT703" s="51"/>
      <c r="BU703" s="51"/>
      <c r="BV703" s="51"/>
      <c r="BW703" s="51"/>
      <c r="BX703" s="51"/>
      <c r="BY703" s="51"/>
      <c r="BZ703" s="51"/>
      <c r="CA703" s="51"/>
      <c r="CB703" s="51"/>
      <c r="CC703" s="51"/>
      <c r="CD703" s="51"/>
      <c r="CE703" s="51"/>
      <c r="CF703" s="51"/>
      <c r="CG703" s="51"/>
    </row>
    <row r="704" ht="30.0"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c r="BA704" s="51"/>
      <c r="BB704" s="51"/>
      <c r="BC704" s="51"/>
      <c r="BD704" s="51"/>
      <c r="BE704" s="51"/>
      <c r="BF704" s="51"/>
      <c r="BG704" s="51"/>
      <c r="BH704" s="51"/>
      <c r="BI704" s="51"/>
      <c r="BJ704" s="51"/>
      <c r="BK704" s="51"/>
      <c r="BL704" s="51"/>
      <c r="BM704" s="51"/>
      <c r="BN704" s="51"/>
      <c r="BO704" s="51"/>
      <c r="BP704" s="51"/>
      <c r="BQ704" s="51"/>
      <c r="BR704" s="51"/>
      <c r="BS704" s="51"/>
      <c r="BT704" s="51"/>
      <c r="BU704" s="51"/>
      <c r="BV704" s="51"/>
      <c r="BW704" s="51"/>
      <c r="BX704" s="51"/>
      <c r="BY704" s="51"/>
      <c r="BZ704" s="51"/>
      <c r="CA704" s="51"/>
      <c r="CB704" s="51"/>
      <c r="CC704" s="51"/>
      <c r="CD704" s="51"/>
      <c r="CE704" s="51"/>
      <c r="CF704" s="51"/>
      <c r="CG704" s="51"/>
    </row>
    <row r="705" ht="30.0"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c r="BA705" s="51"/>
      <c r="BB705" s="51"/>
      <c r="BC705" s="51"/>
      <c r="BD705" s="51"/>
      <c r="BE705" s="51"/>
      <c r="BF705" s="51"/>
      <c r="BG705" s="51"/>
      <c r="BH705" s="51"/>
      <c r="BI705" s="51"/>
      <c r="BJ705" s="51"/>
      <c r="BK705" s="51"/>
      <c r="BL705" s="51"/>
      <c r="BM705" s="51"/>
      <c r="BN705" s="51"/>
      <c r="BO705" s="51"/>
      <c r="BP705" s="51"/>
      <c r="BQ705" s="51"/>
      <c r="BR705" s="51"/>
      <c r="BS705" s="51"/>
      <c r="BT705" s="51"/>
      <c r="BU705" s="51"/>
      <c r="BV705" s="51"/>
      <c r="BW705" s="51"/>
      <c r="BX705" s="51"/>
      <c r="BY705" s="51"/>
      <c r="BZ705" s="51"/>
      <c r="CA705" s="51"/>
      <c r="CB705" s="51"/>
      <c r="CC705" s="51"/>
      <c r="CD705" s="51"/>
      <c r="CE705" s="51"/>
      <c r="CF705" s="51"/>
      <c r="CG705" s="51"/>
    </row>
    <row r="706" ht="30.0"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c r="BA706" s="51"/>
      <c r="BB706" s="51"/>
      <c r="BC706" s="51"/>
      <c r="BD706" s="51"/>
      <c r="BE706" s="51"/>
      <c r="BF706" s="51"/>
      <c r="BG706" s="51"/>
      <c r="BH706" s="51"/>
      <c r="BI706" s="51"/>
      <c r="BJ706" s="51"/>
      <c r="BK706" s="51"/>
      <c r="BL706" s="51"/>
      <c r="BM706" s="51"/>
      <c r="BN706" s="51"/>
      <c r="BO706" s="51"/>
      <c r="BP706" s="51"/>
      <c r="BQ706" s="51"/>
      <c r="BR706" s="51"/>
      <c r="BS706" s="51"/>
      <c r="BT706" s="51"/>
      <c r="BU706" s="51"/>
      <c r="BV706" s="51"/>
      <c r="BW706" s="51"/>
      <c r="BX706" s="51"/>
      <c r="BY706" s="51"/>
      <c r="BZ706" s="51"/>
      <c r="CA706" s="51"/>
      <c r="CB706" s="51"/>
      <c r="CC706" s="51"/>
      <c r="CD706" s="51"/>
      <c r="CE706" s="51"/>
      <c r="CF706" s="51"/>
      <c r="CG706" s="51"/>
    </row>
    <row r="707" ht="30.0"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c r="BA707" s="51"/>
      <c r="BB707" s="51"/>
      <c r="BC707" s="51"/>
      <c r="BD707" s="51"/>
      <c r="BE707" s="51"/>
      <c r="BF707" s="51"/>
      <c r="BG707" s="51"/>
      <c r="BH707" s="51"/>
      <c r="BI707" s="51"/>
      <c r="BJ707" s="51"/>
      <c r="BK707" s="51"/>
      <c r="BL707" s="51"/>
      <c r="BM707" s="51"/>
      <c r="BN707" s="51"/>
      <c r="BO707" s="51"/>
      <c r="BP707" s="51"/>
      <c r="BQ707" s="51"/>
      <c r="BR707" s="51"/>
      <c r="BS707" s="51"/>
      <c r="BT707" s="51"/>
      <c r="BU707" s="51"/>
      <c r="BV707" s="51"/>
      <c r="BW707" s="51"/>
      <c r="BX707" s="51"/>
      <c r="BY707" s="51"/>
      <c r="BZ707" s="51"/>
      <c r="CA707" s="51"/>
      <c r="CB707" s="51"/>
      <c r="CC707" s="51"/>
      <c r="CD707" s="51"/>
      <c r="CE707" s="51"/>
      <c r="CF707" s="51"/>
      <c r="CG707" s="51"/>
    </row>
    <row r="708" ht="30.0"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c r="BA708" s="51"/>
      <c r="BB708" s="51"/>
      <c r="BC708" s="51"/>
      <c r="BD708" s="51"/>
      <c r="BE708" s="51"/>
      <c r="BF708" s="51"/>
      <c r="BG708" s="51"/>
      <c r="BH708" s="51"/>
      <c r="BI708" s="51"/>
      <c r="BJ708" s="51"/>
      <c r="BK708" s="51"/>
      <c r="BL708" s="51"/>
      <c r="BM708" s="51"/>
      <c r="BN708" s="51"/>
      <c r="BO708" s="51"/>
      <c r="BP708" s="51"/>
      <c r="BQ708" s="51"/>
      <c r="BR708" s="51"/>
      <c r="BS708" s="51"/>
      <c r="BT708" s="51"/>
      <c r="BU708" s="51"/>
      <c r="BV708" s="51"/>
      <c r="BW708" s="51"/>
      <c r="BX708" s="51"/>
      <c r="BY708" s="51"/>
      <c r="BZ708" s="51"/>
      <c r="CA708" s="51"/>
      <c r="CB708" s="51"/>
      <c r="CC708" s="51"/>
      <c r="CD708" s="51"/>
      <c r="CE708" s="51"/>
      <c r="CF708" s="51"/>
      <c r="CG708" s="51"/>
    </row>
    <row r="709" ht="30.0"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c r="BA709" s="51"/>
      <c r="BB709" s="51"/>
      <c r="BC709" s="51"/>
      <c r="BD709" s="51"/>
      <c r="BE709" s="51"/>
      <c r="BF709" s="51"/>
      <c r="BG709" s="51"/>
      <c r="BH709" s="51"/>
      <c r="BI709" s="51"/>
      <c r="BJ709" s="51"/>
      <c r="BK709" s="51"/>
      <c r="BL709" s="51"/>
      <c r="BM709" s="51"/>
      <c r="BN709" s="51"/>
      <c r="BO709" s="51"/>
      <c r="BP709" s="51"/>
      <c r="BQ709" s="51"/>
      <c r="BR709" s="51"/>
      <c r="BS709" s="51"/>
      <c r="BT709" s="51"/>
      <c r="BU709" s="51"/>
      <c r="BV709" s="51"/>
      <c r="BW709" s="51"/>
      <c r="BX709" s="51"/>
      <c r="BY709" s="51"/>
      <c r="BZ709" s="51"/>
      <c r="CA709" s="51"/>
      <c r="CB709" s="51"/>
      <c r="CC709" s="51"/>
      <c r="CD709" s="51"/>
      <c r="CE709" s="51"/>
      <c r="CF709" s="51"/>
      <c r="CG709" s="51"/>
    </row>
    <row r="710" ht="30.0"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c r="BA710" s="51"/>
      <c r="BB710" s="51"/>
      <c r="BC710" s="51"/>
      <c r="BD710" s="51"/>
      <c r="BE710" s="51"/>
      <c r="BF710" s="51"/>
      <c r="BG710" s="51"/>
      <c r="BH710" s="51"/>
      <c r="BI710" s="51"/>
      <c r="BJ710" s="51"/>
      <c r="BK710" s="51"/>
      <c r="BL710" s="51"/>
      <c r="BM710" s="51"/>
      <c r="BN710" s="51"/>
      <c r="BO710" s="51"/>
      <c r="BP710" s="51"/>
      <c r="BQ710" s="51"/>
      <c r="BR710" s="51"/>
      <c r="BS710" s="51"/>
      <c r="BT710" s="51"/>
      <c r="BU710" s="51"/>
      <c r="BV710" s="51"/>
      <c r="BW710" s="51"/>
      <c r="BX710" s="51"/>
      <c r="BY710" s="51"/>
      <c r="BZ710" s="51"/>
      <c r="CA710" s="51"/>
      <c r="CB710" s="51"/>
      <c r="CC710" s="51"/>
      <c r="CD710" s="51"/>
      <c r="CE710" s="51"/>
      <c r="CF710" s="51"/>
      <c r="CG710" s="51"/>
    </row>
    <row r="711" ht="30.0"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c r="BA711" s="51"/>
      <c r="BB711" s="51"/>
      <c r="BC711" s="51"/>
      <c r="BD711" s="51"/>
      <c r="BE711" s="51"/>
      <c r="BF711" s="51"/>
      <c r="BG711" s="51"/>
      <c r="BH711" s="51"/>
      <c r="BI711" s="51"/>
      <c r="BJ711" s="51"/>
      <c r="BK711" s="51"/>
      <c r="BL711" s="51"/>
      <c r="BM711" s="51"/>
      <c r="BN711" s="51"/>
      <c r="BO711" s="51"/>
      <c r="BP711" s="51"/>
      <c r="BQ711" s="51"/>
      <c r="BR711" s="51"/>
      <c r="BS711" s="51"/>
      <c r="BT711" s="51"/>
      <c r="BU711" s="51"/>
      <c r="BV711" s="51"/>
      <c r="BW711" s="51"/>
      <c r="BX711" s="51"/>
      <c r="BY711" s="51"/>
      <c r="BZ711" s="51"/>
      <c r="CA711" s="51"/>
      <c r="CB711" s="51"/>
      <c r="CC711" s="51"/>
      <c r="CD711" s="51"/>
      <c r="CE711" s="51"/>
      <c r="CF711" s="51"/>
      <c r="CG711" s="51"/>
    </row>
    <row r="712" ht="30.0"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c r="BA712" s="51"/>
      <c r="BB712" s="51"/>
      <c r="BC712" s="51"/>
      <c r="BD712" s="51"/>
      <c r="BE712" s="51"/>
      <c r="BF712" s="51"/>
      <c r="BG712" s="51"/>
      <c r="BH712" s="51"/>
      <c r="BI712" s="51"/>
      <c r="BJ712" s="51"/>
      <c r="BK712" s="51"/>
      <c r="BL712" s="51"/>
      <c r="BM712" s="51"/>
      <c r="BN712" s="51"/>
      <c r="BO712" s="51"/>
      <c r="BP712" s="51"/>
      <c r="BQ712" s="51"/>
      <c r="BR712" s="51"/>
      <c r="BS712" s="51"/>
      <c r="BT712" s="51"/>
      <c r="BU712" s="51"/>
      <c r="BV712" s="51"/>
      <c r="BW712" s="51"/>
      <c r="BX712" s="51"/>
      <c r="BY712" s="51"/>
      <c r="BZ712" s="51"/>
      <c r="CA712" s="51"/>
      <c r="CB712" s="51"/>
      <c r="CC712" s="51"/>
      <c r="CD712" s="51"/>
      <c r="CE712" s="51"/>
      <c r="CF712" s="51"/>
      <c r="CG712" s="51"/>
    </row>
    <row r="713" ht="30.0"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c r="BA713" s="51"/>
      <c r="BB713" s="51"/>
      <c r="BC713" s="51"/>
      <c r="BD713" s="51"/>
      <c r="BE713" s="51"/>
      <c r="BF713" s="51"/>
      <c r="BG713" s="51"/>
      <c r="BH713" s="51"/>
      <c r="BI713" s="51"/>
      <c r="BJ713" s="51"/>
      <c r="BK713" s="51"/>
      <c r="BL713" s="51"/>
      <c r="BM713" s="51"/>
      <c r="BN713" s="51"/>
      <c r="BO713" s="51"/>
      <c r="BP713" s="51"/>
      <c r="BQ713" s="51"/>
      <c r="BR713" s="51"/>
      <c r="BS713" s="51"/>
      <c r="BT713" s="51"/>
      <c r="BU713" s="51"/>
      <c r="BV713" s="51"/>
      <c r="BW713" s="51"/>
      <c r="BX713" s="51"/>
      <c r="BY713" s="51"/>
      <c r="BZ713" s="51"/>
      <c r="CA713" s="51"/>
      <c r="CB713" s="51"/>
      <c r="CC713" s="51"/>
      <c r="CD713" s="51"/>
      <c r="CE713" s="51"/>
      <c r="CF713" s="51"/>
      <c r="CG713" s="51"/>
    </row>
    <row r="714" ht="30.0"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c r="BA714" s="51"/>
      <c r="BB714" s="51"/>
      <c r="BC714" s="51"/>
      <c r="BD714" s="51"/>
      <c r="BE714" s="51"/>
      <c r="BF714" s="51"/>
      <c r="BG714" s="51"/>
      <c r="BH714" s="51"/>
      <c r="BI714" s="51"/>
      <c r="BJ714" s="51"/>
      <c r="BK714" s="51"/>
      <c r="BL714" s="51"/>
      <c r="BM714" s="51"/>
      <c r="BN714" s="51"/>
      <c r="BO714" s="51"/>
      <c r="BP714" s="51"/>
      <c r="BQ714" s="51"/>
      <c r="BR714" s="51"/>
      <c r="BS714" s="51"/>
      <c r="BT714" s="51"/>
      <c r="BU714" s="51"/>
      <c r="BV714" s="51"/>
      <c r="BW714" s="51"/>
      <c r="BX714" s="51"/>
      <c r="BY714" s="51"/>
      <c r="BZ714" s="51"/>
      <c r="CA714" s="51"/>
      <c r="CB714" s="51"/>
      <c r="CC714" s="51"/>
      <c r="CD714" s="51"/>
      <c r="CE714" s="51"/>
      <c r="CF714" s="51"/>
      <c r="CG714" s="51"/>
    </row>
    <row r="715" ht="30.0"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c r="BA715" s="51"/>
      <c r="BB715" s="51"/>
      <c r="BC715" s="51"/>
      <c r="BD715" s="51"/>
      <c r="BE715" s="51"/>
      <c r="BF715" s="51"/>
      <c r="BG715" s="51"/>
      <c r="BH715" s="51"/>
      <c r="BI715" s="51"/>
      <c r="BJ715" s="51"/>
      <c r="BK715" s="51"/>
      <c r="BL715" s="51"/>
      <c r="BM715" s="51"/>
      <c r="BN715" s="51"/>
      <c r="BO715" s="51"/>
      <c r="BP715" s="51"/>
      <c r="BQ715" s="51"/>
      <c r="BR715" s="51"/>
      <c r="BS715" s="51"/>
      <c r="BT715" s="51"/>
      <c r="BU715" s="51"/>
      <c r="BV715" s="51"/>
      <c r="BW715" s="51"/>
      <c r="BX715" s="51"/>
      <c r="BY715" s="51"/>
      <c r="BZ715" s="51"/>
      <c r="CA715" s="51"/>
      <c r="CB715" s="51"/>
      <c r="CC715" s="51"/>
      <c r="CD715" s="51"/>
      <c r="CE715" s="51"/>
      <c r="CF715" s="51"/>
      <c r="CG715" s="51"/>
    </row>
    <row r="716" ht="30.0"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c r="BA716" s="51"/>
      <c r="BB716" s="51"/>
      <c r="BC716" s="51"/>
      <c r="BD716" s="51"/>
      <c r="BE716" s="51"/>
      <c r="BF716" s="51"/>
      <c r="BG716" s="51"/>
      <c r="BH716" s="51"/>
      <c r="BI716" s="51"/>
      <c r="BJ716" s="51"/>
      <c r="BK716" s="51"/>
      <c r="BL716" s="51"/>
      <c r="BM716" s="51"/>
      <c r="BN716" s="51"/>
      <c r="BO716" s="51"/>
      <c r="BP716" s="51"/>
      <c r="BQ716" s="51"/>
      <c r="BR716" s="51"/>
      <c r="BS716" s="51"/>
      <c r="BT716" s="51"/>
      <c r="BU716" s="51"/>
      <c r="BV716" s="51"/>
      <c r="BW716" s="51"/>
      <c r="BX716" s="51"/>
      <c r="BY716" s="51"/>
      <c r="BZ716" s="51"/>
      <c r="CA716" s="51"/>
      <c r="CB716" s="51"/>
      <c r="CC716" s="51"/>
      <c r="CD716" s="51"/>
      <c r="CE716" s="51"/>
      <c r="CF716" s="51"/>
      <c r="CG716" s="51"/>
    </row>
    <row r="717" ht="30.0"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c r="BA717" s="51"/>
      <c r="BB717" s="51"/>
      <c r="BC717" s="51"/>
      <c r="BD717" s="51"/>
      <c r="BE717" s="51"/>
      <c r="BF717" s="51"/>
      <c r="BG717" s="51"/>
      <c r="BH717" s="51"/>
      <c r="BI717" s="51"/>
      <c r="BJ717" s="51"/>
      <c r="BK717" s="51"/>
      <c r="BL717" s="51"/>
      <c r="BM717" s="51"/>
      <c r="BN717" s="51"/>
      <c r="BO717" s="51"/>
      <c r="BP717" s="51"/>
      <c r="BQ717" s="51"/>
      <c r="BR717" s="51"/>
      <c r="BS717" s="51"/>
      <c r="BT717" s="51"/>
      <c r="BU717" s="51"/>
      <c r="BV717" s="51"/>
      <c r="BW717" s="51"/>
      <c r="BX717" s="51"/>
      <c r="BY717" s="51"/>
      <c r="BZ717" s="51"/>
      <c r="CA717" s="51"/>
      <c r="CB717" s="51"/>
      <c r="CC717" s="51"/>
      <c r="CD717" s="51"/>
      <c r="CE717" s="51"/>
      <c r="CF717" s="51"/>
      <c r="CG717" s="51"/>
    </row>
    <row r="718" ht="30.0"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c r="BA718" s="51"/>
      <c r="BB718" s="51"/>
      <c r="BC718" s="51"/>
      <c r="BD718" s="51"/>
      <c r="BE718" s="51"/>
      <c r="BF718" s="51"/>
      <c r="BG718" s="51"/>
      <c r="BH718" s="51"/>
      <c r="BI718" s="51"/>
      <c r="BJ718" s="51"/>
      <c r="BK718" s="51"/>
      <c r="BL718" s="51"/>
      <c r="BM718" s="51"/>
      <c r="BN718" s="51"/>
      <c r="BO718" s="51"/>
      <c r="BP718" s="51"/>
      <c r="BQ718" s="51"/>
      <c r="BR718" s="51"/>
      <c r="BS718" s="51"/>
      <c r="BT718" s="51"/>
      <c r="BU718" s="51"/>
      <c r="BV718" s="51"/>
      <c r="BW718" s="51"/>
      <c r="BX718" s="51"/>
      <c r="BY718" s="51"/>
      <c r="BZ718" s="51"/>
      <c r="CA718" s="51"/>
      <c r="CB718" s="51"/>
      <c r="CC718" s="51"/>
      <c r="CD718" s="51"/>
      <c r="CE718" s="51"/>
      <c r="CF718" s="51"/>
      <c r="CG718" s="51"/>
    </row>
    <row r="719" ht="30.0"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c r="BA719" s="51"/>
      <c r="BB719" s="51"/>
      <c r="BC719" s="51"/>
      <c r="BD719" s="51"/>
      <c r="BE719" s="51"/>
      <c r="BF719" s="51"/>
      <c r="BG719" s="51"/>
      <c r="BH719" s="51"/>
      <c r="BI719" s="51"/>
      <c r="BJ719" s="51"/>
      <c r="BK719" s="51"/>
      <c r="BL719" s="51"/>
      <c r="BM719" s="51"/>
      <c r="BN719" s="51"/>
      <c r="BO719" s="51"/>
      <c r="BP719" s="51"/>
      <c r="BQ719" s="51"/>
      <c r="BR719" s="51"/>
      <c r="BS719" s="51"/>
      <c r="BT719" s="51"/>
      <c r="BU719" s="51"/>
      <c r="BV719" s="51"/>
      <c r="BW719" s="51"/>
      <c r="BX719" s="51"/>
      <c r="BY719" s="51"/>
      <c r="BZ719" s="51"/>
      <c r="CA719" s="51"/>
      <c r="CB719" s="51"/>
      <c r="CC719" s="51"/>
      <c r="CD719" s="51"/>
      <c r="CE719" s="51"/>
      <c r="CF719" s="51"/>
      <c r="CG719" s="51"/>
    </row>
    <row r="720" ht="30.0"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c r="BA720" s="51"/>
      <c r="BB720" s="51"/>
      <c r="BC720" s="51"/>
      <c r="BD720" s="51"/>
      <c r="BE720" s="51"/>
      <c r="BF720" s="51"/>
      <c r="BG720" s="51"/>
      <c r="BH720" s="51"/>
      <c r="BI720" s="51"/>
      <c r="BJ720" s="51"/>
      <c r="BK720" s="51"/>
      <c r="BL720" s="51"/>
      <c r="BM720" s="51"/>
      <c r="BN720" s="51"/>
      <c r="BO720" s="51"/>
      <c r="BP720" s="51"/>
      <c r="BQ720" s="51"/>
      <c r="BR720" s="51"/>
      <c r="BS720" s="51"/>
      <c r="BT720" s="51"/>
      <c r="BU720" s="51"/>
      <c r="BV720" s="51"/>
      <c r="BW720" s="51"/>
      <c r="BX720" s="51"/>
      <c r="BY720" s="51"/>
      <c r="BZ720" s="51"/>
      <c r="CA720" s="51"/>
      <c r="CB720" s="51"/>
      <c r="CC720" s="51"/>
      <c r="CD720" s="51"/>
      <c r="CE720" s="51"/>
      <c r="CF720" s="51"/>
      <c r="CG720" s="51"/>
    </row>
    <row r="721" ht="30.0"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c r="BA721" s="51"/>
      <c r="BB721" s="51"/>
      <c r="BC721" s="51"/>
      <c r="BD721" s="51"/>
      <c r="BE721" s="51"/>
      <c r="BF721" s="51"/>
      <c r="BG721" s="51"/>
      <c r="BH721" s="51"/>
      <c r="BI721" s="51"/>
      <c r="BJ721" s="51"/>
      <c r="BK721" s="51"/>
      <c r="BL721" s="51"/>
      <c r="BM721" s="51"/>
      <c r="BN721" s="51"/>
      <c r="BO721" s="51"/>
      <c r="BP721" s="51"/>
      <c r="BQ721" s="51"/>
      <c r="BR721" s="51"/>
      <c r="BS721" s="51"/>
      <c r="BT721" s="51"/>
      <c r="BU721" s="51"/>
      <c r="BV721" s="51"/>
      <c r="BW721" s="51"/>
      <c r="BX721" s="51"/>
      <c r="BY721" s="51"/>
      <c r="BZ721" s="51"/>
      <c r="CA721" s="51"/>
      <c r="CB721" s="51"/>
      <c r="CC721" s="51"/>
      <c r="CD721" s="51"/>
      <c r="CE721" s="51"/>
      <c r="CF721" s="51"/>
      <c r="CG721" s="51"/>
    </row>
    <row r="722" ht="30.0"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c r="BA722" s="51"/>
      <c r="BB722" s="51"/>
      <c r="BC722" s="51"/>
      <c r="BD722" s="51"/>
      <c r="BE722" s="51"/>
      <c r="BF722" s="51"/>
      <c r="BG722" s="51"/>
      <c r="BH722" s="51"/>
      <c r="BI722" s="51"/>
      <c r="BJ722" s="51"/>
      <c r="BK722" s="51"/>
      <c r="BL722" s="51"/>
      <c r="BM722" s="51"/>
      <c r="BN722" s="51"/>
      <c r="BO722" s="51"/>
      <c r="BP722" s="51"/>
      <c r="BQ722" s="51"/>
      <c r="BR722" s="51"/>
      <c r="BS722" s="51"/>
      <c r="BT722" s="51"/>
      <c r="BU722" s="51"/>
      <c r="BV722" s="51"/>
      <c r="BW722" s="51"/>
      <c r="BX722" s="51"/>
      <c r="BY722" s="51"/>
      <c r="BZ722" s="51"/>
      <c r="CA722" s="51"/>
      <c r="CB722" s="51"/>
      <c r="CC722" s="51"/>
      <c r="CD722" s="51"/>
      <c r="CE722" s="51"/>
      <c r="CF722" s="51"/>
      <c r="CG722" s="51"/>
    </row>
    <row r="723" ht="30.0"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c r="BA723" s="51"/>
      <c r="BB723" s="51"/>
      <c r="BC723" s="51"/>
      <c r="BD723" s="51"/>
      <c r="BE723" s="51"/>
      <c r="BF723" s="51"/>
      <c r="BG723" s="51"/>
      <c r="BH723" s="51"/>
      <c r="BI723" s="51"/>
      <c r="BJ723" s="51"/>
      <c r="BK723" s="51"/>
      <c r="BL723" s="51"/>
      <c r="BM723" s="51"/>
      <c r="BN723" s="51"/>
      <c r="BO723" s="51"/>
      <c r="BP723" s="51"/>
      <c r="BQ723" s="51"/>
      <c r="BR723" s="51"/>
      <c r="BS723" s="51"/>
      <c r="BT723" s="51"/>
      <c r="BU723" s="51"/>
      <c r="BV723" s="51"/>
      <c r="BW723" s="51"/>
      <c r="BX723" s="51"/>
      <c r="BY723" s="51"/>
      <c r="BZ723" s="51"/>
      <c r="CA723" s="51"/>
      <c r="CB723" s="51"/>
      <c r="CC723" s="51"/>
      <c r="CD723" s="51"/>
      <c r="CE723" s="51"/>
      <c r="CF723" s="51"/>
      <c r="CG723" s="51"/>
    </row>
    <row r="724" ht="30.0"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c r="BA724" s="51"/>
      <c r="BB724" s="51"/>
      <c r="BC724" s="51"/>
      <c r="BD724" s="51"/>
      <c r="BE724" s="51"/>
      <c r="BF724" s="51"/>
      <c r="BG724" s="51"/>
      <c r="BH724" s="51"/>
      <c r="BI724" s="51"/>
      <c r="BJ724" s="51"/>
      <c r="BK724" s="51"/>
      <c r="BL724" s="51"/>
      <c r="BM724" s="51"/>
      <c r="BN724" s="51"/>
      <c r="BO724" s="51"/>
      <c r="BP724" s="51"/>
      <c r="BQ724" s="51"/>
      <c r="BR724" s="51"/>
      <c r="BS724" s="51"/>
      <c r="BT724" s="51"/>
      <c r="BU724" s="51"/>
      <c r="BV724" s="51"/>
      <c r="BW724" s="51"/>
      <c r="BX724" s="51"/>
      <c r="BY724" s="51"/>
      <c r="BZ724" s="51"/>
      <c r="CA724" s="51"/>
      <c r="CB724" s="51"/>
      <c r="CC724" s="51"/>
      <c r="CD724" s="51"/>
      <c r="CE724" s="51"/>
      <c r="CF724" s="51"/>
      <c r="CG724" s="51"/>
    </row>
    <row r="725" ht="30.0"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c r="BA725" s="51"/>
      <c r="BB725" s="51"/>
      <c r="BC725" s="51"/>
      <c r="BD725" s="51"/>
      <c r="BE725" s="51"/>
      <c r="BF725" s="51"/>
      <c r="BG725" s="51"/>
      <c r="BH725" s="51"/>
      <c r="BI725" s="51"/>
      <c r="BJ725" s="51"/>
      <c r="BK725" s="51"/>
      <c r="BL725" s="51"/>
      <c r="BM725" s="51"/>
      <c r="BN725" s="51"/>
      <c r="BO725" s="51"/>
      <c r="BP725" s="51"/>
      <c r="BQ725" s="51"/>
      <c r="BR725" s="51"/>
      <c r="BS725" s="51"/>
      <c r="BT725" s="51"/>
      <c r="BU725" s="51"/>
      <c r="BV725" s="51"/>
      <c r="BW725" s="51"/>
      <c r="BX725" s="51"/>
      <c r="BY725" s="51"/>
      <c r="BZ725" s="51"/>
      <c r="CA725" s="51"/>
      <c r="CB725" s="51"/>
      <c r="CC725" s="51"/>
      <c r="CD725" s="51"/>
      <c r="CE725" s="51"/>
      <c r="CF725" s="51"/>
      <c r="CG725" s="51"/>
    </row>
    <row r="726" ht="30.0"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c r="BA726" s="51"/>
      <c r="BB726" s="51"/>
      <c r="BC726" s="51"/>
      <c r="BD726" s="51"/>
      <c r="BE726" s="51"/>
      <c r="BF726" s="51"/>
      <c r="BG726" s="51"/>
      <c r="BH726" s="51"/>
      <c r="BI726" s="51"/>
      <c r="BJ726" s="51"/>
      <c r="BK726" s="51"/>
      <c r="BL726" s="51"/>
      <c r="BM726" s="51"/>
      <c r="BN726" s="51"/>
      <c r="BO726" s="51"/>
      <c r="BP726" s="51"/>
      <c r="BQ726" s="51"/>
      <c r="BR726" s="51"/>
      <c r="BS726" s="51"/>
      <c r="BT726" s="51"/>
      <c r="BU726" s="51"/>
      <c r="BV726" s="51"/>
      <c r="BW726" s="51"/>
      <c r="BX726" s="51"/>
      <c r="BY726" s="51"/>
      <c r="BZ726" s="51"/>
      <c r="CA726" s="51"/>
      <c r="CB726" s="51"/>
      <c r="CC726" s="51"/>
      <c r="CD726" s="51"/>
      <c r="CE726" s="51"/>
      <c r="CF726" s="51"/>
      <c r="CG726" s="51"/>
    </row>
    <row r="727" ht="30.0"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c r="BA727" s="51"/>
      <c r="BB727" s="51"/>
      <c r="BC727" s="51"/>
      <c r="BD727" s="51"/>
      <c r="BE727" s="51"/>
      <c r="BF727" s="51"/>
      <c r="BG727" s="51"/>
      <c r="BH727" s="51"/>
      <c r="BI727" s="51"/>
      <c r="BJ727" s="51"/>
      <c r="BK727" s="51"/>
      <c r="BL727" s="51"/>
      <c r="BM727" s="51"/>
      <c r="BN727" s="51"/>
      <c r="BO727" s="51"/>
      <c r="BP727" s="51"/>
      <c r="BQ727" s="51"/>
      <c r="BR727" s="51"/>
      <c r="BS727" s="51"/>
      <c r="BT727" s="51"/>
      <c r="BU727" s="51"/>
      <c r="BV727" s="51"/>
      <c r="BW727" s="51"/>
      <c r="BX727" s="51"/>
      <c r="BY727" s="51"/>
      <c r="BZ727" s="51"/>
      <c r="CA727" s="51"/>
      <c r="CB727" s="51"/>
      <c r="CC727" s="51"/>
      <c r="CD727" s="51"/>
      <c r="CE727" s="51"/>
      <c r="CF727" s="51"/>
      <c r="CG727" s="51"/>
    </row>
    <row r="728" ht="30.0"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c r="BA728" s="51"/>
      <c r="BB728" s="51"/>
      <c r="BC728" s="51"/>
      <c r="BD728" s="51"/>
      <c r="BE728" s="51"/>
      <c r="BF728" s="51"/>
      <c r="BG728" s="51"/>
      <c r="BH728" s="51"/>
      <c r="BI728" s="51"/>
      <c r="BJ728" s="51"/>
      <c r="BK728" s="51"/>
      <c r="BL728" s="51"/>
      <c r="BM728" s="51"/>
      <c r="BN728" s="51"/>
      <c r="BO728" s="51"/>
      <c r="BP728" s="51"/>
      <c r="BQ728" s="51"/>
      <c r="BR728" s="51"/>
      <c r="BS728" s="51"/>
      <c r="BT728" s="51"/>
      <c r="BU728" s="51"/>
      <c r="BV728" s="51"/>
      <c r="BW728" s="51"/>
      <c r="BX728" s="51"/>
      <c r="BY728" s="51"/>
      <c r="BZ728" s="51"/>
      <c r="CA728" s="51"/>
      <c r="CB728" s="51"/>
      <c r="CC728" s="51"/>
      <c r="CD728" s="51"/>
      <c r="CE728" s="51"/>
      <c r="CF728" s="51"/>
      <c r="CG728" s="51"/>
    </row>
    <row r="729" ht="30.0"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c r="BA729" s="51"/>
      <c r="BB729" s="51"/>
      <c r="BC729" s="51"/>
      <c r="BD729" s="51"/>
      <c r="BE729" s="51"/>
      <c r="BF729" s="51"/>
      <c r="BG729" s="51"/>
      <c r="BH729" s="51"/>
      <c r="BI729" s="51"/>
      <c r="BJ729" s="51"/>
      <c r="BK729" s="51"/>
      <c r="BL729" s="51"/>
      <c r="BM729" s="51"/>
      <c r="BN729" s="51"/>
      <c r="BO729" s="51"/>
      <c r="BP729" s="51"/>
      <c r="BQ729" s="51"/>
      <c r="BR729" s="51"/>
      <c r="BS729" s="51"/>
      <c r="BT729" s="51"/>
      <c r="BU729" s="51"/>
      <c r="BV729" s="51"/>
      <c r="BW729" s="51"/>
      <c r="BX729" s="51"/>
      <c r="BY729" s="51"/>
      <c r="BZ729" s="51"/>
      <c r="CA729" s="51"/>
      <c r="CB729" s="51"/>
      <c r="CC729" s="51"/>
      <c r="CD729" s="51"/>
      <c r="CE729" s="51"/>
      <c r="CF729" s="51"/>
      <c r="CG729" s="51"/>
    </row>
    <row r="730" ht="30.0"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c r="BA730" s="51"/>
      <c r="BB730" s="51"/>
      <c r="BC730" s="51"/>
      <c r="BD730" s="51"/>
      <c r="BE730" s="51"/>
      <c r="BF730" s="51"/>
      <c r="BG730" s="51"/>
      <c r="BH730" s="51"/>
      <c r="BI730" s="51"/>
      <c r="BJ730" s="51"/>
      <c r="BK730" s="51"/>
      <c r="BL730" s="51"/>
      <c r="BM730" s="51"/>
      <c r="BN730" s="51"/>
      <c r="BO730" s="51"/>
      <c r="BP730" s="51"/>
      <c r="BQ730" s="51"/>
      <c r="BR730" s="51"/>
      <c r="BS730" s="51"/>
      <c r="BT730" s="51"/>
      <c r="BU730" s="51"/>
      <c r="BV730" s="51"/>
      <c r="BW730" s="51"/>
      <c r="BX730" s="51"/>
      <c r="BY730" s="51"/>
      <c r="BZ730" s="51"/>
      <c r="CA730" s="51"/>
      <c r="CB730" s="51"/>
      <c r="CC730" s="51"/>
      <c r="CD730" s="51"/>
      <c r="CE730" s="51"/>
      <c r="CF730" s="51"/>
      <c r="CG730" s="51"/>
    </row>
    <row r="731" ht="30.0"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c r="BA731" s="51"/>
      <c r="BB731" s="51"/>
      <c r="BC731" s="51"/>
      <c r="BD731" s="51"/>
      <c r="BE731" s="51"/>
      <c r="BF731" s="51"/>
      <c r="BG731" s="51"/>
      <c r="BH731" s="51"/>
      <c r="BI731" s="51"/>
      <c r="BJ731" s="51"/>
      <c r="BK731" s="51"/>
      <c r="BL731" s="51"/>
      <c r="BM731" s="51"/>
      <c r="BN731" s="51"/>
      <c r="BO731" s="51"/>
      <c r="BP731" s="51"/>
      <c r="BQ731" s="51"/>
      <c r="BR731" s="51"/>
      <c r="BS731" s="51"/>
      <c r="BT731" s="51"/>
      <c r="BU731" s="51"/>
      <c r="BV731" s="51"/>
      <c r="BW731" s="51"/>
      <c r="BX731" s="51"/>
      <c r="BY731" s="51"/>
      <c r="BZ731" s="51"/>
      <c r="CA731" s="51"/>
      <c r="CB731" s="51"/>
      <c r="CC731" s="51"/>
      <c r="CD731" s="51"/>
      <c r="CE731" s="51"/>
      <c r="CF731" s="51"/>
      <c r="CG731" s="51"/>
    </row>
    <row r="732" ht="30.0"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c r="BA732" s="51"/>
      <c r="BB732" s="51"/>
      <c r="BC732" s="51"/>
      <c r="BD732" s="51"/>
      <c r="BE732" s="51"/>
      <c r="BF732" s="51"/>
      <c r="BG732" s="51"/>
      <c r="BH732" s="51"/>
      <c r="BI732" s="51"/>
      <c r="BJ732" s="51"/>
      <c r="BK732" s="51"/>
      <c r="BL732" s="51"/>
      <c r="BM732" s="51"/>
      <c r="BN732" s="51"/>
      <c r="BO732" s="51"/>
      <c r="BP732" s="51"/>
      <c r="BQ732" s="51"/>
      <c r="BR732" s="51"/>
      <c r="BS732" s="51"/>
      <c r="BT732" s="51"/>
      <c r="BU732" s="51"/>
      <c r="BV732" s="51"/>
      <c r="BW732" s="51"/>
      <c r="BX732" s="51"/>
      <c r="BY732" s="51"/>
      <c r="BZ732" s="51"/>
      <c r="CA732" s="51"/>
      <c r="CB732" s="51"/>
      <c r="CC732" s="51"/>
      <c r="CD732" s="51"/>
      <c r="CE732" s="51"/>
      <c r="CF732" s="51"/>
      <c r="CG732" s="51"/>
    </row>
    <row r="733" ht="30.0"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c r="BA733" s="51"/>
      <c r="BB733" s="51"/>
      <c r="BC733" s="51"/>
      <c r="BD733" s="51"/>
      <c r="BE733" s="51"/>
      <c r="BF733" s="51"/>
      <c r="BG733" s="51"/>
      <c r="BH733" s="51"/>
      <c r="BI733" s="51"/>
      <c r="BJ733" s="51"/>
      <c r="BK733" s="51"/>
      <c r="BL733" s="51"/>
      <c r="BM733" s="51"/>
      <c r="BN733" s="51"/>
      <c r="BO733" s="51"/>
      <c r="BP733" s="51"/>
      <c r="BQ733" s="51"/>
      <c r="BR733" s="51"/>
      <c r="BS733" s="51"/>
      <c r="BT733" s="51"/>
      <c r="BU733" s="51"/>
      <c r="BV733" s="51"/>
      <c r="BW733" s="51"/>
      <c r="BX733" s="51"/>
      <c r="BY733" s="51"/>
      <c r="BZ733" s="51"/>
      <c r="CA733" s="51"/>
      <c r="CB733" s="51"/>
      <c r="CC733" s="51"/>
      <c r="CD733" s="51"/>
      <c r="CE733" s="51"/>
      <c r="CF733" s="51"/>
      <c r="CG733" s="51"/>
    </row>
    <row r="734" ht="30.0"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c r="BA734" s="51"/>
      <c r="BB734" s="51"/>
      <c r="BC734" s="51"/>
      <c r="BD734" s="51"/>
      <c r="BE734" s="51"/>
      <c r="BF734" s="51"/>
      <c r="BG734" s="51"/>
      <c r="BH734" s="51"/>
      <c r="BI734" s="51"/>
      <c r="BJ734" s="51"/>
      <c r="BK734" s="51"/>
      <c r="BL734" s="51"/>
      <c r="BM734" s="51"/>
      <c r="BN734" s="51"/>
      <c r="BO734" s="51"/>
      <c r="BP734" s="51"/>
      <c r="BQ734" s="51"/>
      <c r="BR734" s="51"/>
      <c r="BS734" s="51"/>
      <c r="BT734" s="51"/>
      <c r="BU734" s="51"/>
      <c r="BV734" s="51"/>
      <c r="BW734" s="51"/>
      <c r="BX734" s="51"/>
      <c r="BY734" s="51"/>
      <c r="BZ734" s="51"/>
      <c r="CA734" s="51"/>
      <c r="CB734" s="51"/>
      <c r="CC734" s="51"/>
      <c r="CD734" s="51"/>
      <c r="CE734" s="51"/>
      <c r="CF734" s="51"/>
      <c r="CG734" s="51"/>
    </row>
    <row r="735" ht="30.0"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c r="BS735" s="51"/>
      <c r="BT735" s="51"/>
      <c r="BU735" s="51"/>
      <c r="BV735" s="51"/>
      <c r="BW735" s="51"/>
      <c r="BX735" s="51"/>
      <c r="BY735" s="51"/>
      <c r="BZ735" s="51"/>
      <c r="CA735" s="51"/>
      <c r="CB735" s="51"/>
      <c r="CC735" s="51"/>
      <c r="CD735" s="51"/>
      <c r="CE735" s="51"/>
      <c r="CF735" s="51"/>
      <c r="CG735" s="51"/>
    </row>
    <row r="736" ht="30.0"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c r="BS736" s="51"/>
      <c r="BT736" s="51"/>
      <c r="BU736" s="51"/>
      <c r="BV736" s="51"/>
      <c r="BW736" s="51"/>
      <c r="BX736" s="51"/>
      <c r="BY736" s="51"/>
      <c r="BZ736" s="51"/>
      <c r="CA736" s="51"/>
      <c r="CB736" s="51"/>
      <c r="CC736" s="51"/>
      <c r="CD736" s="51"/>
      <c r="CE736" s="51"/>
      <c r="CF736" s="51"/>
      <c r="CG736" s="51"/>
    </row>
    <row r="737" ht="30.0"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c r="BS737" s="51"/>
      <c r="BT737" s="51"/>
      <c r="BU737" s="51"/>
      <c r="BV737" s="51"/>
      <c r="BW737" s="51"/>
      <c r="BX737" s="51"/>
      <c r="BY737" s="51"/>
      <c r="BZ737" s="51"/>
      <c r="CA737" s="51"/>
      <c r="CB737" s="51"/>
      <c r="CC737" s="51"/>
      <c r="CD737" s="51"/>
      <c r="CE737" s="51"/>
      <c r="CF737" s="51"/>
      <c r="CG737" s="51"/>
    </row>
    <row r="738" ht="30.0"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c r="BS738" s="51"/>
      <c r="BT738" s="51"/>
      <c r="BU738" s="51"/>
      <c r="BV738" s="51"/>
      <c r="BW738" s="51"/>
      <c r="BX738" s="51"/>
      <c r="BY738" s="51"/>
      <c r="BZ738" s="51"/>
      <c r="CA738" s="51"/>
      <c r="CB738" s="51"/>
      <c r="CC738" s="51"/>
      <c r="CD738" s="51"/>
      <c r="CE738" s="51"/>
      <c r="CF738" s="51"/>
      <c r="CG738" s="51"/>
    </row>
    <row r="739" ht="30.0"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c r="BS739" s="51"/>
      <c r="BT739" s="51"/>
      <c r="BU739" s="51"/>
      <c r="BV739" s="51"/>
      <c r="BW739" s="51"/>
      <c r="BX739" s="51"/>
      <c r="BY739" s="51"/>
      <c r="BZ739" s="51"/>
      <c r="CA739" s="51"/>
      <c r="CB739" s="51"/>
      <c r="CC739" s="51"/>
      <c r="CD739" s="51"/>
      <c r="CE739" s="51"/>
      <c r="CF739" s="51"/>
      <c r="CG739" s="51"/>
    </row>
    <row r="740" ht="30.0"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c r="BS740" s="51"/>
      <c r="BT740" s="51"/>
      <c r="BU740" s="51"/>
      <c r="BV740" s="51"/>
      <c r="BW740" s="51"/>
      <c r="BX740" s="51"/>
      <c r="BY740" s="51"/>
      <c r="BZ740" s="51"/>
      <c r="CA740" s="51"/>
      <c r="CB740" s="51"/>
      <c r="CC740" s="51"/>
      <c r="CD740" s="51"/>
      <c r="CE740" s="51"/>
      <c r="CF740" s="51"/>
      <c r="CG740" s="51"/>
    </row>
    <row r="741" ht="30.0"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c r="BS741" s="51"/>
      <c r="BT741" s="51"/>
      <c r="BU741" s="51"/>
      <c r="BV741" s="51"/>
      <c r="BW741" s="51"/>
      <c r="BX741" s="51"/>
      <c r="BY741" s="51"/>
      <c r="BZ741" s="51"/>
      <c r="CA741" s="51"/>
      <c r="CB741" s="51"/>
      <c r="CC741" s="51"/>
      <c r="CD741" s="51"/>
      <c r="CE741" s="51"/>
      <c r="CF741" s="51"/>
      <c r="CG741" s="51"/>
    </row>
    <row r="742" ht="30.0"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c r="BS742" s="51"/>
      <c r="BT742" s="51"/>
      <c r="BU742" s="51"/>
      <c r="BV742" s="51"/>
      <c r="BW742" s="51"/>
      <c r="BX742" s="51"/>
      <c r="BY742" s="51"/>
      <c r="BZ742" s="51"/>
      <c r="CA742" s="51"/>
      <c r="CB742" s="51"/>
      <c r="CC742" s="51"/>
      <c r="CD742" s="51"/>
      <c r="CE742" s="51"/>
      <c r="CF742" s="51"/>
      <c r="CG742" s="51"/>
    </row>
    <row r="743" ht="30.0"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c r="BS743" s="51"/>
      <c r="BT743" s="51"/>
      <c r="BU743" s="51"/>
      <c r="BV743" s="51"/>
      <c r="BW743" s="51"/>
      <c r="BX743" s="51"/>
      <c r="BY743" s="51"/>
      <c r="BZ743" s="51"/>
      <c r="CA743" s="51"/>
      <c r="CB743" s="51"/>
      <c r="CC743" s="51"/>
      <c r="CD743" s="51"/>
      <c r="CE743" s="51"/>
      <c r="CF743" s="51"/>
      <c r="CG743" s="51"/>
    </row>
    <row r="744" ht="30.0"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c r="BS744" s="51"/>
      <c r="BT744" s="51"/>
      <c r="BU744" s="51"/>
      <c r="BV744" s="51"/>
      <c r="BW744" s="51"/>
      <c r="BX744" s="51"/>
      <c r="BY744" s="51"/>
      <c r="BZ744" s="51"/>
      <c r="CA744" s="51"/>
      <c r="CB744" s="51"/>
      <c r="CC744" s="51"/>
      <c r="CD744" s="51"/>
      <c r="CE744" s="51"/>
      <c r="CF744" s="51"/>
      <c r="CG744" s="51"/>
    </row>
    <row r="745" ht="30.0"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c r="BS745" s="51"/>
      <c r="BT745" s="51"/>
      <c r="BU745" s="51"/>
      <c r="BV745" s="51"/>
      <c r="BW745" s="51"/>
      <c r="BX745" s="51"/>
      <c r="BY745" s="51"/>
      <c r="BZ745" s="51"/>
      <c r="CA745" s="51"/>
      <c r="CB745" s="51"/>
      <c r="CC745" s="51"/>
      <c r="CD745" s="51"/>
      <c r="CE745" s="51"/>
      <c r="CF745" s="51"/>
      <c r="CG745" s="51"/>
    </row>
    <row r="746" ht="30.0"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c r="BS746" s="51"/>
      <c r="BT746" s="51"/>
      <c r="BU746" s="51"/>
      <c r="BV746" s="51"/>
      <c r="BW746" s="51"/>
      <c r="BX746" s="51"/>
      <c r="BY746" s="51"/>
      <c r="BZ746" s="51"/>
      <c r="CA746" s="51"/>
      <c r="CB746" s="51"/>
      <c r="CC746" s="51"/>
      <c r="CD746" s="51"/>
      <c r="CE746" s="51"/>
      <c r="CF746" s="51"/>
      <c r="CG746" s="51"/>
    </row>
    <row r="747" ht="30.0"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c r="BS747" s="51"/>
      <c r="BT747" s="51"/>
      <c r="BU747" s="51"/>
      <c r="BV747" s="51"/>
      <c r="BW747" s="51"/>
      <c r="BX747" s="51"/>
      <c r="BY747" s="51"/>
      <c r="BZ747" s="51"/>
      <c r="CA747" s="51"/>
      <c r="CB747" s="51"/>
      <c r="CC747" s="51"/>
      <c r="CD747" s="51"/>
      <c r="CE747" s="51"/>
      <c r="CF747" s="51"/>
      <c r="CG747" s="51"/>
    </row>
    <row r="748" ht="30.0"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c r="BS748" s="51"/>
      <c r="BT748" s="51"/>
      <c r="BU748" s="51"/>
      <c r="BV748" s="51"/>
      <c r="BW748" s="51"/>
      <c r="BX748" s="51"/>
      <c r="BY748" s="51"/>
      <c r="BZ748" s="51"/>
      <c r="CA748" s="51"/>
      <c r="CB748" s="51"/>
      <c r="CC748" s="51"/>
      <c r="CD748" s="51"/>
      <c r="CE748" s="51"/>
      <c r="CF748" s="51"/>
      <c r="CG748" s="51"/>
    </row>
    <row r="749" ht="30.0"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c r="BS749" s="51"/>
      <c r="BT749" s="51"/>
      <c r="BU749" s="51"/>
      <c r="BV749" s="51"/>
      <c r="BW749" s="51"/>
      <c r="BX749" s="51"/>
      <c r="BY749" s="51"/>
      <c r="BZ749" s="51"/>
      <c r="CA749" s="51"/>
      <c r="CB749" s="51"/>
      <c r="CC749" s="51"/>
      <c r="CD749" s="51"/>
      <c r="CE749" s="51"/>
      <c r="CF749" s="51"/>
      <c r="CG749" s="51"/>
    </row>
    <row r="750" ht="30.0"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c r="BS750" s="51"/>
      <c r="BT750" s="51"/>
      <c r="BU750" s="51"/>
      <c r="BV750" s="51"/>
      <c r="BW750" s="51"/>
      <c r="BX750" s="51"/>
      <c r="BY750" s="51"/>
      <c r="BZ750" s="51"/>
      <c r="CA750" s="51"/>
      <c r="CB750" s="51"/>
      <c r="CC750" s="51"/>
      <c r="CD750" s="51"/>
      <c r="CE750" s="51"/>
      <c r="CF750" s="51"/>
      <c r="CG750" s="51"/>
    </row>
    <row r="751" ht="30.0"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c r="BS751" s="51"/>
      <c r="BT751" s="51"/>
      <c r="BU751" s="51"/>
      <c r="BV751" s="51"/>
      <c r="BW751" s="51"/>
      <c r="BX751" s="51"/>
      <c r="BY751" s="51"/>
      <c r="BZ751" s="51"/>
      <c r="CA751" s="51"/>
      <c r="CB751" s="51"/>
      <c r="CC751" s="51"/>
      <c r="CD751" s="51"/>
      <c r="CE751" s="51"/>
      <c r="CF751" s="51"/>
      <c r="CG751" s="51"/>
    </row>
    <row r="752" ht="30.0"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c r="BS752" s="51"/>
      <c r="BT752" s="51"/>
      <c r="BU752" s="51"/>
      <c r="BV752" s="51"/>
      <c r="BW752" s="51"/>
      <c r="BX752" s="51"/>
      <c r="BY752" s="51"/>
      <c r="BZ752" s="51"/>
      <c r="CA752" s="51"/>
      <c r="CB752" s="51"/>
      <c r="CC752" s="51"/>
      <c r="CD752" s="51"/>
      <c r="CE752" s="51"/>
      <c r="CF752" s="51"/>
      <c r="CG752" s="51"/>
    </row>
    <row r="753" ht="30.0"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c r="BS753" s="51"/>
      <c r="BT753" s="51"/>
      <c r="BU753" s="51"/>
      <c r="BV753" s="51"/>
      <c r="BW753" s="51"/>
      <c r="BX753" s="51"/>
      <c r="BY753" s="51"/>
      <c r="BZ753" s="51"/>
      <c r="CA753" s="51"/>
      <c r="CB753" s="51"/>
      <c r="CC753" s="51"/>
      <c r="CD753" s="51"/>
      <c r="CE753" s="51"/>
      <c r="CF753" s="51"/>
      <c r="CG753" s="51"/>
    </row>
    <row r="754" ht="30.0"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c r="BS754" s="51"/>
      <c r="BT754" s="51"/>
      <c r="BU754" s="51"/>
      <c r="BV754" s="51"/>
      <c r="BW754" s="51"/>
      <c r="BX754" s="51"/>
      <c r="BY754" s="51"/>
      <c r="BZ754" s="51"/>
      <c r="CA754" s="51"/>
      <c r="CB754" s="51"/>
      <c r="CC754" s="51"/>
      <c r="CD754" s="51"/>
      <c r="CE754" s="51"/>
      <c r="CF754" s="51"/>
      <c r="CG754" s="51"/>
    </row>
    <row r="755" ht="30.0"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c r="BS755" s="51"/>
      <c r="BT755" s="51"/>
      <c r="BU755" s="51"/>
      <c r="BV755" s="51"/>
      <c r="BW755" s="51"/>
      <c r="BX755" s="51"/>
      <c r="BY755" s="51"/>
      <c r="BZ755" s="51"/>
      <c r="CA755" s="51"/>
      <c r="CB755" s="51"/>
      <c r="CC755" s="51"/>
      <c r="CD755" s="51"/>
      <c r="CE755" s="51"/>
      <c r="CF755" s="51"/>
      <c r="CG755" s="51"/>
    </row>
    <row r="756" ht="30.0"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c r="BS756" s="51"/>
      <c r="BT756" s="51"/>
      <c r="BU756" s="51"/>
      <c r="BV756" s="51"/>
      <c r="BW756" s="51"/>
      <c r="BX756" s="51"/>
      <c r="BY756" s="51"/>
      <c r="BZ756" s="51"/>
      <c r="CA756" s="51"/>
      <c r="CB756" s="51"/>
      <c r="CC756" s="51"/>
      <c r="CD756" s="51"/>
      <c r="CE756" s="51"/>
      <c r="CF756" s="51"/>
      <c r="CG756" s="51"/>
    </row>
    <row r="757" ht="30.0"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c r="BS757" s="51"/>
      <c r="BT757" s="51"/>
      <c r="BU757" s="51"/>
      <c r="BV757" s="51"/>
      <c r="BW757" s="51"/>
      <c r="BX757" s="51"/>
      <c r="BY757" s="51"/>
      <c r="BZ757" s="51"/>
      <c r="CA757" s="51"/>
      <c r="CB757" s="51"/>
      <c r="CC757" s="51"/>
      <c r="CD757" s="51"/>
      <c r="CE757" s="51"/>
      <c r="CF757" s="51"/>
      <c r="CG757" s="51"/>
    </row>
    <row r="758" ht="30.0"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c r="BS758" s="51"/>
      <c r="BT758" s="51"/>
      <c r="BU758" s="51"/>
      <c r="BV758" s="51"/>
      <c r="BW758" s="51"/>
      <c r="BX758" s="51"/>
      <c r="BY758" s="51"/>
      <c r="BZ758" s="51"/>
      <c r="CA758" s="51"/>
      <c r="CB758" s="51"/>
      <c r="CC758" s="51"/>
      <c r="CD758" s="51"/>
      <c r="CE758" s="51"/>
      <c r="CF758" s="51"/>
      <c r="CG758" s="51"/>
    </row>
    <row r="759" ht="30.0"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c r="BS759" s="51"/>
      <c r="BT759" s="51"/>
      <c r="BU759" s="51"/>
      <c r="BV759" s="51"/>
      <c r="BW759" s="51"/>
      <c r="BX759" s="51"/>
      <c r="BY759" s="51"/>
      <c r="BZ759" s="51"/>
      <c r="CA759" s="51"/>
      <c r="CB759" s="51"/>
      <c r="CC759" s="51"/>
      <c r="CD759" s="51"/>
      <c r="CE759" s="51"/>
      <c r="CF759" s="51"/>
      <c r="CG759" s="51"/>
    </row>
    <row r="760" ht="30.0"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1"/>
      <c r="BZ760" s="51"/>
      <c r="CA760" s="51"/>
      <c r="CB760" s="51"/>
      <c r="CC760" s="51"/>
      <c r="CD760" s="51"/>
      <c r="CE760" s="51"/>
      <c r="CF760" s="51"/>
      <c r="CG760" s="51"/>
    </row>
    <row r="761" ht="30.0"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c r="BS761" s="51"/>
      <c r="BT761" s="51"/>
      <c r="BU761" s="51"/>
      <c r="BV761" s="51"/>
      <c r="BW761" s="51"/>
      <c r="BX761" s="51"/>
      <c r="BY761" s="51"/>
      <c r="BZ761" s="51"/>
      <c r="CA761" s="51"/>
      <c r="CB761" s="51"/>
      <c r="CC761" s="51"/>
      <c r="CD761" s="51"/>
      <c r="CE761" s="51"/>
      <c r="CF761" s="51"/>
      <c r="CG761" s="51"/>
    </row>
    <row r="762" ht="30.0"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c r="BS762" s="51"/>
      <c r="BT762" s="51"/>
      <c r="BU762" s="51"/>
      <c r="BV762" s="51"/>
      <c r="BW762" s="51"/>
      <c r="BX762" s="51"/>
      <c r="BY762" s="51"/>
      <c r="BZ762" s="51"/>
      <c r="CA762" s="51"/>
      <c r="CB762" s="51"/>
      <c r="CC762" s="51"/>
      <c r="CD762" s="51"/>
      <c r="CE762" s="51"/>
      <c r="CF762" s="51"/>
      <c r="CG762" s="51"/>
    </row>
    <row r="763" ht="30.0"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c r="BS763" s="51"/>
      <c r="BT763" s="51"/>
      <c r="BU763" s="51"/>
      <c r="BV763" s="51"/>
      <c r="BW763" s="51"/>
      <c r="BX763" s="51"/>
      <c r="BY763" s="51"/>
      <c r="BZ763" s="51"/>
      <c r="CA763" s="51"/>
      <c r="CB763" s="51"/>
      <c r="CC763" s="51"/>
      <c r="CD763" s="51"/>
      <c r="CE763" s="51"/>
      <c r="CF763" s="51"/>
      <c r="CG763" s="51"/>
    </row>
    <row r="764" ht="30.0"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c r="BS764" s="51"/>
      <c r="BT764" s="51"/>
      <c r="BU764" s="51"/>
      <c r="BV764" s="51"/>
      <c r="BW764" s="51"/>
      <c r="BX764" s="51"/>
      <c r="BY764" s="51"/>
      <c r="BZ764" s="51"/>
      <c r="CA764" s="51"/>
      <c r="CB764" s="51"/>
      <c r="CC764" s="51"/>
      <c r="CD764" s="51"/>
      <c r="CE764" s="51"/>
      <c r="CF764" s="51"/>
      <c r="CG764" s="51"/>
    </row>
    <row r="765" ht="30.0"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c r="BS765" s="51"/>
      <c r="BT765" s="51"/>
      <c r="BU765" s="51"/>
      <c r="BV765" s="51"/>
      <c r="BW765" s="51"/>
      <c r="BX765" s="51"/>
      <c r="BY765" s="51"/>
      <c r="BZ765" s="51"/>
      <c r="CA765" s="51"/>
      <c r="CB765" s="51"/>
      <c r="CC765" s="51"/>
      <c r="CD765" s="51"/>
      <c r="CE765" s="51"/>
      <c r="CF765" s="51"/>
      <c r="CG765" s="51"/>
    </row>
    <row r="766" ht="30.0"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c r="BS766" s="51"/>
      <c r="BT766" s="51"/>
      <c r="BU766" s="51"/>
      <c r="BV766" s="51"/>
      <c r="BW766" s="51"/>
      <c r="BX766" s="51"/>
      <c r="BY766" s="51"/>
      <c r="BZ766" s="51"/>
      <c r="CA766" s="51"/>
      <c r="CB766" s="51"/>
      <c r="CC766" s="51"/>
      <c r="CD766" s="51"/>
      <c r="CE766" s="51"/>
      <c r="CF766" s="51"/>
      <c r="CG766" s="51"/>
    </row>
    <row r="767" ht="30.0"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c r="BS767" s="51"/>
      <c r="BT767" s="51"/>
      <c r="BU767" s="51"/>
      <c r="BV767" s="51"/>
      <c r="BW767" s="51"/>
      <c r="BX767" s="51"/>
      <c r="BY767" s="51"/>
      <c r="BZ767" s="51"/>
      <c r="CA767" s="51"/>
      <c r="CB767" s="51"/>
      <c r="CC767" s="51"/>
      <c r="CD767" s="51"/>
      <c r="CE767" s="51"/>
      <c r="CF767" s="51"/>
      <c r="CG767" s="51"/>
    </row>
    <row r="768" ht="30.0"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c r="BS768" s="51"/>
      <c r="BT768" s="51"/>
      <c r="BU768" s="51"/>
      <c r="BV768" s="51"/>
      <c r="BW768" s="51"/>
      <c r="BX768" s="51"/>
      <c r="BY768" s="51"/>
      <c r="BZ768" s="51"/>
      <c r="CA768" s="51"/>
      <c r="CB768" s="51"/>
      <c r="CC768" s="51"/>
      <c r="CD768" s="51"/>
      <c r="CE768" s="51"/>
      <c r="CF768" s="51"/>
      <c r="CG768" s="51"/>
    </row>
    <row r="769" ht="30.0"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c r="BS769" s="51"/>
      <c r="BT769" s="51"/>
      <c r="BU769" s="51"/>
      <c r="BV769" s="51"/>
      <c r="BW769" s="51"/>
      <c r="BX769" s="51"/>
      <c r="BY769" s="51"/>
      <c r="BZ769" s="51"/>
      <c r="CA769" s="51"/>
      <c r="CB769" s="51"/>
      <c r="CC769" s="51"/>
      <c r="CD769" s="51"/>
      <c r="CE769" s="51"/>
      <c r="CF769" s="51"/>
      <c r="CG769" s="51"/>
    </row>
    <row r="770" ht="30.0"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c r="BS770" s="51"/>
      <c r="BT770" s="51"/>
      <c r="BU770" s="51"/>
      <c r="BV770" s="51"/>
      <c r="BW770" s="51"/>
      <c r="BX770" s="51"/>
      <c r="BY770" s="51"/>
      <c r="BZ770" s="51"/>
      <c r="CA770" s="51"/>
      <c r="CB770" s="51"/>
      <c r="CC770" s="51"/>
      <c r="CD770" s="51"/>
      <c r="CE770" s="51"/>
      <c r="CF770" s="51"/>
      <c r="CG770" s="51"/>
    </row>
    <row r="771" ht="30.0"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c r="BS771" s="51"/>
      <c r="BT771" s="51"/>
      <c r="BU771" s="51"/>
      <c r="BV771" s="51"/>
      <c r="BW771" s="51"/>
      <c r="BX771" s="51"/>
      <c r="BY771" s="51"/>
      <c r="BZ771" s="51"/>
      <c r="CA771" s="51"/>
      <c r="CB771" s="51"/>
      <c r="CC771" s="51"/>
      <c r="CD771" s="51"/>
      <c r="CE771" s="51"/>
      <c r="CF771" s="51"/>
      <c r="CG771" s="51"/>
    </row>
    <row r="772" ht="30.0"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c r="BS772" s="51"/>
      <c r="BT772" s="51"/>
      <c r="BU772" s="51"/>
      <c r="BV772" s="51"/>
      <c r="BW772" s="51"/>
      <c r="BX772" s="51"/>
      <c r="BY772" s="51"/>
      <c r="BZ772" s="51"/>
      <c r="CA772" s="51"/>
      <c r="CB772" s="51"/>
      <c r="CC772" s="51"/>
      <c r="CD772" s="51"/>
      <c r="CE772" s="51"/>
      <c r="CF772" s="51"/>
      <c r="CG772" s="51"/>
    </row>
    <row r="773" ht="30.0"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c r="BS773" s="51"/>
      <c r="BT773" s="51"/>
      <c r="BU773" s="51"/>
      <c r="BV773" s="51"/>
      <c r="BW773" s="51"/>
      <c r="BX773" s="51"/>
      <c r="BY773" s="51"/>
      <c r="BZ773" s="51"/>
      <c r="CA773" s="51"/>
      <c r="CB773" s="51"/>
      <c r="CC773" s="51"/>
      <c r="CD773" s="51"/>
      <c r="CE773" s="51"/>
      <c r="CF773" s="51"/>
      <c r="CG773" s="51"/>
    </row>
    <row r="774" ht="30.0"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c r="BS774" s="51"/>
      <c r="BT774" s="51"/>
      <c r="BU774" s="51"/>
      <c r="BV774" s="51"/>
      <c r="BW774" s="51"/>
      <c r="BX774" s="51"/>
      <c r="BY774" s="51"/>
      <c r="BZ774" s="51"/>
      <c r="CA774" s="51"/>
      <c r="CB774" s="51"/>
      <c r="CC774" s="51"/>
      <c r="CD774" s="51"/>
      <c r="CE774" s="51"/>
      <c r="CF774" s="51"/>
      <c r="CG774" s="51"/>
    </row>
    <row r="775" ht="30.0"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c r="BS775" s="51"/>
      <c r="BT775" s="51"/>
      <c r="BU775" s="51"/>
      <c r="BV775" s="51"/>
      <c r="BW775" s="51"/>
      <c r="BX775" s="51"/>
      <c r="BY775" s="51"/>
      <c r="BZ775" s="51"/>
      <c r="CA775" s="51"/>
      <c r="CB775" s="51"/>
      <c r="CC775" s="51"/>
      <c r="CD775" s="51"/>
      <c r="CE775" s="51"/>
      <c r="CF775" s="51"/>
      <c r="CG775" s="51"/>
    </row>
    <row r="776" ht="30.0"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c r="BS776" s="51"/>
      <c r="BT776" s="51"/>
      <c r="BU776" s="51"/>
      <c r="BV776" s="51"/>
      <c r="BW776" s="51"/>
      <c r="BX776" s="51"/>
      <c r="BY776" s="51"/>
      <c r="BZ776" s="51"/>
      <c r="CA776" s="51"/>
      <c r="CB776" s="51"/>
      <c r="CC776" s="51"/>
      <c r="CD776" s="51"/>
      <c r="CE776" s="51"/>
      <c r="CF776" s="51"/>
      <c r="CG776" s="51"/>
    </row>
    <row r="777" ht="30.0"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c r="BS777" s="51"/>
      <c r="BT777" s="51"/>
      <c r="BU777" s="51"/>
      <c r="BV777" s="51"/>
      <c r="BW777" s="51"/>
      <c r="BX777" s="51"/>
      <c r="BY777" s="51"/>
      <c r="BZ777" s="51"/>
      <c r="CA777" s="51"/>
      <c r="CB777" s="51"/>
      <c r="CC777" s="51"/>
      <c r="CD777" s="51"/>
      <c r="CE777" s="51"/>
      <c r="CF777" s="51"/>
      <c r="CG777" s="51"/>
    </row>
    <row r="778" ht="30.0"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c r="BS778" s="51"/>
      <c r="BT778" s="51"/>
      <c r="BU778" s="51"/>
      <c r="BV778" s="51"/>
      <c r="BW778" s="51"/>
      <c r="BX778" s="51"/>
      <c r="BY778" s="51"/>
      <c r="BZ778" s="51"/>
      <c r="CA778" s="51"/>
      <c r="CB778" s="51"/>
      <c r="CC778" s="51"/>
      <c r="CD778" s="51"/>
      <c r="CE778" s="51"/>
      <c r="CF778" s="51"/>
      <c r="CG778" s="51"/>
    </row>
    <row r="779" ht="30.0"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c r="BS779" s="51"/>
      <c r="BT779" s="51"/>
      <c r="BU779" s="51"/>
      <c r="BV779" s="51"/>
      <c r="BW779" s="51"/>
      <c r="BX779" s="51"/>
      <c r="BY779" s="51"/>
      <c r="BZ779" s="51"/>
      <c r="CA779" s="51"/>
      <c r="CB779" s="51"/>
      <c r="CC779" s="51"/>
      <c r="CD779" s="51"/>
      <c r="CE779" s="51"/>
      <c r="CF779" s="51"/>
      <c r="CG779" s="51"/>
    </row>
    <row r="780" ht="30.0"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c r="BS780" s="51"/>
      <c r="BT780" s="51"/>
      <c r="BU780" s="51"/>
      <c r="BV780" s="51"/>
      <c r="BW780" s="51"/>
      <c r="BX780" s="51"/>
      <c r="BY780" s="51"/>
      <c r="BZ780" s="51"/>
      <c r="CA780" s="51"/>
      <c r="CB780" s="51"/>
      <c r="CC780" s="51"/>
      <c r="CD780" s="51"/>
      <c r="CE780" s="51"/>
      <c r="CF780" s="51"/>
      <c r="CG780" s="51"/>
    </row>
    <row r="781" ht="30.0"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c r="BS781" s="51"/>
      <c r="BT781" s="51"/>
      <c r="BU781" s="51"/>
      <c r="BV781" s="51"/>
      <c r="BW781" s="51"/>
      <c r="BX781" s="51"/>
      <c r="BY781" s="51"/>
      <c r="BZ781" s="51"/>
      <c r="CA781" s="51"/>
      <c r="CB781" s="51"/>
      <c r="CC781" s="51"/>
      <c r="CD781" s="51"/>
      <c r="CE781" s="51"/>
      <c r="CF781" s="51"/>
      <c r="CG781" s="51"/>
    </row>
    <row r="782" ht="30.0"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c r="BS782" s="51"/>
      <c r="BT782" s="51"/>
      <c r="BU782" s="51"/>
      <c r="BV782" s="51"/>
      <c r="BW782" s="51"/>
      <c r="BX782" s="51"/>
      <c r="BY782" s="51"/>
      <c r="BZ782" s="51"/>
      <c r="CA782" s="51"/>
      <c r="CB782" s="51"/>
      <c r="CC782" s="51"/>
      <c r="CD782" s="51"/>
      <c r="CE782" s="51"/>
      <c r="CF782" s="51"/>
      <c r="CG782" s="51"/>
    </row>
    <row r="783" ht="30.0"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c r="BS783" s="51"/>
      <c r="BT783" s="51"/>
      <c r="BU783" s="51"/>
      <c r="BV783" s="51"/>
      <c r="BW783" s="51"/>
      <c r="BX783" s="51"/>
      <c r="BY783" s="51"/>
      <c r="BZ783" s="51"/>
      <c r="CA783" s="51"/>
      <c r="CB783" s="51"/>
      <c r="CC783" s="51"/>
      <c r="CD783" s="51"/>
      <c r="CE783" s="51"/>
      <c r="CF783" s="51"/>
      <c r="CG783" s="51"/>
    </row>
    <row r="784" ht="30.0"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c r="BS784" s="51"/>
      <c r="BT784" s="51"/>
      <c r="BU784" s="51"/>
      <c r="BV784" s="51"/>
      <c r="BW784" s="51"/>
      <c r="BX784" s="51"/>
      <c r="BY784" s="51"/>
      <c r="BZ784" s="51"/>
      <c r="CA784" s="51"/>
      <c r="CB784" s="51"/>
      <c r="CC784" s="51"/>
      <c r="CD784" s="51"/>
      <c r="CE784" s="51"/>
      <c r="CF784" s="51"/>
      <c r="CG784" s="51"/>
    </row>
    <row r="785" ht="30.0"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c r="BS785" s="51"/>
      <c r="BT785" s="51"/>
      <c r="BU785" s="51"/>
      <c r="BV785" s="51"/>
      <c r="BW785" s="51"/>
      <c r="BX785" s="51"/>
      <c r="BY785" s="51"/>
      <c r="BZ785" s="51"/>
      <c r="CA785" s="51"/>
      <c r="CB785" s="51"/>
      <c r="CC785" s="51"/>
      <c r="CD785" s="51"/>
      <c r="CE785" s="51"/>
      <c r="CF785" s="51"/>
      <c r="CG785" s="51"/>
    </row>
    <row r="786" ht="30.0"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c r="BS786" s="51"/>
      <c r="BT786" s="51"/>
      <c r="BU786" s="51"/>
      <c r="BV786" s="51"/>
      <c r="BW786" s="51"/>
      <c r="BX786" s="51"/>
      <c r="BY786" s="51"/>
      <c r="BZ786" s="51"/>
      <c r="CA786" s="51"/>
      <c r="CB786" s="51"/>
      <c r="CC786" s="51"/>
      <c r="CD786" s="51"/>
      <c r="CE786" s="51"/>
      <c r="CF786" s="51"/>
      <c r="CG786" s="51"/>
    </row>
    <row r="787" ht="30.0"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c r="BS787" s="51"/>
      <c r="BT787" s="51"/>
      <c r="BU787" s="51"/>
      <c r="BV787" s="51"/>
      <c r="BW787" s="51"/>
      <c r="BX787" s="51"/>
      <c r="BY787" s="51"/>
      <c r="BZ787" s="51"/>
      <c r="CA787" s="51"/>
      <c r="CB787" s="51"/>
      <c r="CC787" s="51"/>
      <c r="CD787" s="51"/>
      <c r="CE787" s="51"/>
      <c r="CF787" s="51"/>
      <c r="CG787" s="51"/>
    </row>
    <row r="788" ht="30.0"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c r="BS788" s="51"/>
      <c r="BT788" s="51"/>
      <c r="BU788" s="51"/>
      <c r="BV788" s="51"/>
      <c r="BW788" s="51"/>
      <c r="BX788" s="51"/>
      <c r="BY788" s="51"/>
      <c r="BZ788" s="51"/>
      <c r="CA788" s="51"/>
      <c r="CB788" s="51"/>
      <c r="CC788" s="51"/>
      <c r="CD788" s="51"/>
      <c r="CE788" s="51"/>
      <c r="CF788" s="51"/>
      <c r="CG788" s="51"/>
    </row>
    <row r="789" ht="30.0"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c r="BS789" s="51"/>
      <c r="BT789" s="51"/>
      <c r="BU789" s="51"/>
      <c r="BV789" s="51"/>
      <c r="BW789" s="51"/>
      <c r="BX789" s="51"/>
      <c r="BY789" s="51"/>
      <c r="BZ789" s="51"/>
      <c r="CA789" s="51"/>
      <c r="CB789" s="51"/>
      <c r="CC789" s="51"/>
      <c r="CD789" s="51"/>
      <c r="CE789" s="51"/>
      <c r="CF789" s="51"/>
      <c r="CG789" s="51"/>
    </row>
    <row r="790" ht="30.0"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c r="BS790" s="51"/>
      <c r="BT790" s="51"/>
      <c r="BU790" s="51"/>
      <c r="BV790" s="51"/>
      <c r="BW790" s="51"/>
      <c r="BX790" s="51"/>
      <c r="BY790" s="51"/>
      <c r="BZ790" s="51"/>
      <c r="CA790" s="51"/>
      <c r="CB790" s="51"/>
      <c r="CC790" s="51"/>
      <c r="CD790" s="51"/>
      <c r="CE790" s="51"/>
      <c r="CF790" s="51"/>
      <c r="CG790" s="51"/>
    </row>
    <row r="791" ht="30.0"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c r="BS791" s="51"/>
      <c r="BT791" s="51"/>
      <c r="BU791" s="51"/>
      <c r="BV791" s="51"/>
      <c r="BW791" s="51"/>
      <c r="BX791" s="51"/>
      <c r="BY791" s="51"/>
      <c r="BZ791" s="51"/>
      <c r="CA791" s="51"/>
      <c r="CB791" s="51"/>
      <c r="CC791" s="51"/>
      <c r="CD791" s="51"/>
      <c r="CE791" s="51"/>
      <c r="CF791" s="51"/>
      <c r="CG791" s="51"/>
    </row>
    <row r="792" ht="30.0"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c r="BS792" s="51"/>
      <c r="BT792" s="51"/>
      <c r="BU792" s="51"/>
      <c r="BV792" s="51"/>
      <c r="BW792" s="51"/>
      <c r="BX792" s="51"/>
      <c r="BY792" s="51"/>
      <c r="BZ792" s="51"/>
      <c r="CA792" s="51"/>
      <c r="CB792" s="51"/>
      <c r="CC792" s="51"/>
      <c r="CD792" s="51"/>
      <c r="CE792" s="51"/>
      <c r="CF792" s="51"/>
      <c r="CG792" s="51"/>
    </row>
    <row r="793" ht="30.0"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c r="BS793" s="51"/>
      <c r="BT793" s="51"/>
      <c r="BU793" s="51"/>
      <c r="BV793" s="51"/>
      <c r="BW793" s="51"/>
      <c r="BX793" s="51"/>
      <c r="BY793" s="51"/>
      <c r="BZ793" s="51"/>
      <c r="CA793" s="51"/>
      <c r="CB793" s="51"/>
      <c r="CC793" s="51"/>
      <c r="CD793" s="51"/>
      <c r="CE793" s="51"/>
      <c r="CF793" s="51"/>
      <c r="CG793" s="51"/>
    </row>
    <row r="794" ht="30.0"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c r="BS794" s="51"/>
      <c r="BT794" s="51"/>
      <c r="BU794" s="51"/>
      <c r="BV794" s="51"/>
      <c r="BW794" s="51"/>
      <c r="BX794" s="51"/>
      <c r="BY794" s="51"/>
      <c r="BZ794" s="51"/>
      <c r="CA794" s="51"/>
      <c r="CB794" s="51"/>
      <c r="CC794" s="51"/>
      <c r="CD794" s="51"/>
      <c r="CE794" s="51"/>
      <c r="CF794" s="51"/>
      <c r="CG794" s="51"/>
    </row>
    <row r="795" ht="30.0"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c r="BS795" s="51"/>
      <c r="BT795" s="51"/>
      <c r="BU795" s="51"/>
      <c r="BV795" s="51"/>
      <c r="BW795" s="51"/>
      <c r="BX795" s="51"/>
      <c r="BY795" s="51"/>
      <c r="BZ795" s="51"/>
      <c r="CA795" s="51"/>
      <c r="CB795" s="51"/>
      <c r="CC795" s="51"/>
      <c r="CD795" s="51"/>
      <c r="CE795" s="51"/>
      <c r="CF795" s="51"/>
      <c r="CG795" s="51"/>
    </row>
    <row r="796" ht="30.0"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c r="BS796" s="51"/>
      <c r="BT796" s="51"/>
      <c r="BU796" s="51"/>
      <c r="BV796" s="51"/>
      <c r="BW796" s="51"/>
      <c r="BX796" s="51"/>
      <c r="BY796" s="51"/>
      <c r="BZ796" s="51"/>
      <c r="CA796" s="51"/>
      <c r="CB796" s="51"/>
      <c r="CC796" s="51"/>
      <c r="CD796" s="51"/>
      <c r="CE796" s="51"/>
      <c r="CF796" s="51"/>
      <c r="CG796" s="51"/>
    </row>
    <row r="797" ht="30.0"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c r="BS797" s="51"/>
      <c r="BT797" s="51"/>
      <c r="BU797" s="51"/>
      <c r="BV797" s="51"/>
      <c r="BW797" s="51"/>
      <c r="BX797" s="51"/>
      <c r="BY797" s="51"/>
      <c r="BZ797" s="51"/>
      <c r="CA797" s="51"/>
      <c r="CB797" s="51"/>
      <c r="CC797" s="51"/>
      <c r="CD797" s="51"/>
      <c r="CE797" s="51"/>
      <c r="CF797" s="51"/>
      <c r="CG797" s="51"/>
    </row>
    <row r="798" ht="30.0"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c r="BS798" s="51"/>
      <c r="BT798" s="51"/>
      <c r="BU798" s="51"/>
      <c r="BV798" s="51"/>
      <c r="BW798" s="51"/>
      <c r="BX798" s="51"/>
      <c r="BY798" s="51"/>
      <c r="BZ798" s="51"/>
      <c r="CA798" s="51"/>
      <c r="CB798" s="51"/>
      <c r="CC798" s="51"/>
      <c r="CD798" s="51"/>
      <c r="CE798" s="51"/>
      <c r="CF798" s="51"/>
      <c r="CG798" s="51"/>
    </row>
    <row r="799" ht="30.0"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c r="BS799" s="51"/>
      <c r="BT799" s="51"/>
      <c r="BU799" s="51"/>
      <c r="BV799" s="51"/>
      <c r="BW799" s="51"/>
      <c r="BX799" s="51"/>
      <c r="BY799" s="51"/>
      <c r="BZ799" s="51"/>
      <c r="CA799" s="51"/>
      <c r="CB799" s="51"/>
      <c r="CC799" s="51"/>
      <c r="CD799" s="51"/>
      <c r="CE799" s="51"/>
      <c r="CF799" s="51"/>
      <c r="CG799" s="51"/>
    </row>
    <row r="800" ht="30.0"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c r="BS800" s="51"/>
      <c r="BT800" s="51"/>
      <c r="BU800" s="51"/>
      <c r="BV800" s="51"/>
      <c r="BW800" s="51"/>
      <c r="BX800" s="51"/>
      <c r="BY800" s="51"/>
      <c r="BZ800" s="51"/>
      <c r="CA800" s="51"/>
      <c r="CB800" s="51"/>
      <c r="CC800" s="51"/>
      <c r="CD800" s="51"/>
      <c r="CE800" s="51"/>
      <c r="CF800" s="51"/>
      <c r="CG800" s="51"/>
    </row>
    <row r="801" ht="30.0"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c r="BS801" s="51"/>
      <c r="BT801" s="51"/>
      <c r="BU801" s="51"/>
      <c r="BV801" s="51"/>
      <c r="BW801" s="51"/>
      <c r="BX801" s="51"/>
      <c r="BY801" s="51"/>
      <c r="BZ801" s="51"/>
      <c r="CA801" s="51"/>
      <c r="CB801" s="51"/>
      <c r="CC801" s="51"/>
      <c r="CD801" s="51"/>
      <c r="CE801" s="51"/>
      <c r="CF801" s="51"/>
      <c r="CG801" s="51"/>
    </row>
    <row r="802" ht="30.0"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c r="BS802" s="51"/>
      <c r="BT802" s="51"/>
      <c r="BU802" s="51"/>
      <c r="BV802" s="51"/>
      <c r="BW802" s="51"/>
      <c r="BX802" s="51"/>
      <c r="BY802" s="51"/>
      <c r="BZ802" s="51"/>
      <c r="CA802" s="51"/>
      <c r="CB802" s="51"/>
      <c r="CC802" s="51"/>
      <c r="CD802" s="51"/>
      <c r="CE802" s="51"/>
      <c r="CF802" s="51"/>
      <c r="CG802" s="51"/>
    </row>
    <row r="803" ht="30.0"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c r="BS803" s="51"/>
      <c r="BT803" s="51"/>
      <c r="BU803" s="51"/>
      <c r="BV803" s="51"/>
      <c r="BW803" s="51"/>
      <c r="BX803" s="51"/>
      <c r="BY803" s="51"/>
      <c r="BZ803" s="51"/>
      <c r="CA803" s="51"/>
      <c r="CB803" s="51"/>
      <c r="CC803" s="51"/>
      <c r="CD803" s="51"/>
      <c r="CE803" s="51"/>
      <c r="CF803" s="51"/>
      <c r="CG803" s="51"/>
    </row>
    <row r="804" ht="30.0"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c r="BS804" s="51"/>
      <c r="BT804" s="51"/>
      <c r="BU804" s="51"/>
      <c r="BV804" s="51"/>
      <c r="BW804" s="51"/>
      <c r="BX804" s="51"/>
      <c r="BY804" s="51"/>
      <c r="BZ804" s="51"/>
      <c r="CA804" s="51"/>
      <c r="CB804" s="51"/>
      <c r="CC804" s="51"/>
      <c r="CD804" s="51"/>
      <c r="CE804" s="51"/>
      <c r="CF804" s="51"/>
      <c r="CG804" s="51"/>
    </row>
    <row r="805" ht="30.0"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c r="BS805" s="51"/>
      <c r="BT805" s="51"/>
      <c r="BU805" s="51"/>
      <c r="BV805" s="51"/>
      <c r="BW805" s="51"/>
      <c r="BX805" s="51"/>
      <c r="BY805" s="51"/>
      <c r="BZ805" s="51"/>
      <c r="CA805" s="51"/>
      <c r="CB805" s="51"/>
      <c r="CC805" s="51"/>
      <c r="CD805" s="51"/>
      <c r="CE805" s="51"/>
      <c r="CF805" s="51"/>
      <c r="CG805" s="51"/>
    </row>
    <row r="806" ht="30.0"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c r="BS806" s="51"/>
      <c r="BT806" s="51"/>
      <c r="BU806" s="51"/>
      <c r="BV806" s="51"/>
      <c r="BW806" s="51"/>
      <c r="BX806" s="51"/>
      <c r="BY806" s="51"/>
      <c r="BZ806" s="51"/>
      <c r="CA806" s="51"/>
      <c r="CB806" s="51"/>
      <c r="CC806" s="51"/>
      <c r="CD806" s="51"/>
      <c r="CE806" s="51"/>
      <c r="CF806" s="51"/>
      <c r="CG806" s="51"/>
    </row>
    <row r="807" ht="30.0"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c r="BS807" s="51"/>
      <c r="BT807" s="51"/>
      <c r="BU807" s="51"/>
      <c r="BV807" s="51"/>
      <c r="BW807" s="51"/>
      <c r="BX807" s="51"/>
      <c r="BY807" s="51"/>
      <c r="BZ807" s="51"/>
      <c r="CA807" s="51"/>
      <c r="CB807" s="51"/>
      <c r="CC807" s="51"/>
      <c r="CD807" s="51"/>
      <c r="CE807" s="51"/>
      <c r="CF807" s="51"/>
      <c r="CG807" s="51"/>
    </row>
    <row r="808" ht="30.0"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c r="BS808" s="51"/>
      <c r="BT808" s="51"/>
      <c r="BU808" s="51"/>
      <c r="BV808" s="51"/>
      <c r="BW808" s="51"/>
      <c r="BX808" s="51"/>
      <c r="BY808" s="51"/>
      <c r="BZ808" s="51"/>
      <c r="CA808" s="51"/>
      <c r="CB808" s="51"/>
      <c r="CC808" s="51"/>
      <c r="CD808" s="51"/>
      <c r="CE808" s="51"/>
      <c r="CF808" s="51"/>
      <c r="CG808" s="51"/>
    </row>
    <row r="809" ht="30.0"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c r="BS809" s="51"/>
      <c r="BT809" s="51"/>
      <c r="BU809" s="51"/>
      <c r="BV809" s="51"/>
      <c r="BW809" s="51"/>
      <c r="BX809" s="51"/>
      <c r="BY809" s="51"/>
      <c r="BZ809" s="51"/>
      <c r="CA809" s="51"/>
      <c r="CB809" s="51"/>
      <c r="CC809" s="51"/>
      <c r="CD809" s="51"/>
      <c r="CE809" s="51"/>
      <c r="CF809" s="51"/>
      <c r="CG809" s="51"/>
    </row>
    <row r="810" ht="30.0"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c r="BS810" s="51"/>
      <c r="BT810" s="51"/>
      <c r="BU810" s="51"/>
      <c r="BV810" s="51"/>
      <c r="BW810" s="51"/>
      <c r="BX810" s="51"/>
      <c r="BY810" s="51"/>
      <c r="BZ810" s="51"/>
      <c r="CA810" s="51"/>
      <c r="CB810" s="51"/>
      <c r="CC810" s="51"/>
      <c r="CD810" s="51"/>
      <c r="CE810" s="51"/>
      <c r="CF810" s="51"/>
      <c r="CG810" s="51"/>
    </row>
    <row r="811" ht="30.0"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c r="BS811" s="51"/>
      <c r="BT811" s="51"/>
      <c r="BU811" s="51"/>
      <c r="BV811" s="51"/>
      <c r="BW811" s="51"/>
      <c r="BX811" s="51"/>
      <c r="BY811" s="51"/>
      <c r="BZ811" s="51"/>
      <c r="CA811" s="51"/>
      <c r="CB811" s="51"/>
      <c r="CC811" s="51"/>
      <c r="CD811" s="51"/>
      <c r="CE811" s="51"/>
      <c r="CF811" s="51"/>
      <c r="CG811" s="51"/>
    </row>
    <row r="812" ht="30.0"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c r="BS812" s="51"/>
      <c r="BT812" s="51"/>
      <c r="BU812" s="51"/>
      <c r="BV812" s="51"/>
      <c r="BW812" s="51"/>
      <c r="BX812" s="51"/>
      <c r="BY812" s="51"/>
      <c r="BZ812" s="51"/>
      <c r="CA812" s="51"/>
      <c r="CB812" s="51"/>
      <c r="CC812" s="51"/>
      <c r="CD812" s="51"/>
      <c r="CE812" s="51"/>
      <c r="CF812" s="51"/>
      <c r="CG812" s="51"/>
    </row>
    <row r="813" ht="30.0"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c r="BS813" s="51"/>
      <c r="BT813" s="51"/>
      <c r="BU813" s="51"/>
      <c r="BV813" s="51"/>
      <c r="BW813" s="51"/>
      <c r="BX813" s="51"/>
      <c r="BY813" s="51"/>
      <c r="BZ813" s="51"/>
      <c r="CA813" s="51"/>
      <c r="CB813" s="51"/>
      <c r="CC813" s="51"/>
      <c r="CD813" s="51"/>
      <c r="CE813" s="51"/>
      <c r="CF813" s="51"/>
      <c r="CG813" s="51"/>
    </row>
    <row r="814" ht="30.0"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c r="BS814" s="51"/>
      <c r="BT814" s="51"/>
      <c r="BU814" s="51"/>
      <c r="BV814" s="51"/>
      <c r="BW814" s="51"/>
      <c r="BX814" s="51"/>
      <c r="BY814" s="51"/>
      <c r="BZ814" s="51"/>
      <c r="CA814" s="51"/>
      <c r="CB814" s="51"/>
      <c r="CC814" s="51"/>
      <c r="CD814" s="51"/>
      <c r="CE814" s="51"/>
      <c r="CF814" s="51"/>
      <c r="CG814" s="51"/>
    </row>
    <row r="815" ht="30.0"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c r="BS815" s="51"/>
      <c r="BT815" s="51"/>
      <c r="BU815" s="51"/>
      <c r="BV815" s="51"/>
      <c r="BW815" s="51"/>
      <c r="BX815" s="51"/>
      <c r="BY815" s="51"/>
      <c r="BZ815" s="51"/>
      <c r="CA815" s="51"/>
      <c r="CB815" s="51"/>
      <c r="CC815" s="51"/>
      <c r="CD815" s="51"/>
      <c r="CE815" s="51"/>
      <c r="CF815" s="51"/>
      <c r="CG815" s="51"/>
    </row>
    <row r="816" ht="30.0"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c r="BS816" s="51"/>
      <c r="BT816" s="51"/>
      <c r="BU816" s="51"/>
      <c r="BV816" s="51"/>
      <c r="BW816" s="51"/>
      <c r="BX816" s="51"/>
      <c r="BY816" s="51"/>
      <c r="BZ816" s="51"/>
      <c r="CA816" s="51"/>
      <c r="CB816" s="51"/>
      <c r="CC816" s="51"/>
      <c r="CD816" s="51"/>
      <c r="CE816" s="51"/>
      <c r="CF816" s="51"/>
      <c r="CG816" s="51"/>
    </row>
    <row r="817" ht="30.0"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c r="BS817" s="51"/>
      <c r="BT817" s="51"/>
      <c r="BU817" s="51"/>
      <c r="BV817" s="51"/>
      <c r="BW817" s="51"/>
      <c r="BX817" s="51"/>
      <c r="BY817" s="51"/>
      <c r="BZ817" s="51"/>
      <c r="CA817" s="51"/>
      <c r="CB817" s="51"/>
      <c r="CC817" s="51"/>
      <c r="CD817" s="51"/>
      <c r="CE817" s="51"/>
      <c r="CF817" s="51"/>
      <c r="CG817" s="51"/>
    </row>
    <row r="818" ht="30.0"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c r="BS818" s="51"/>
      <c r="BT818" s="51"/>
      <c r="BU818" s="51"/>
      <c r="BV818" s="51"/>
      <c r="BW818" s="51"/>
      <c r="BX818" s="51"/>
      <c r="BY818" s="51"/>
      <c r="BZ818" s="51"/>
      <c r="CA818" s="51"/>
      <c r="CB818" s="51"/>
      <c r="CC818" s="51"/>
      <c r="CD818" s="51"/>
      <c r="CE818" s="51"/>
      <c r="CF818" s="51"/>
      <c r="CG818" s="51"/>
    </row>
    <row r="819" ht="30.0"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c r="BS819" s="51"/>
      <c r="BT819" s="51"/>
      <c r="BU819" s="51"/>
      <c r="BV819" s="51"/>
      <c r="BW819" s="51"/>
      <c r="BX819" s="51"/>
      <c r="BY819" s="51"/>
      <c r="BZ819" s="51"/>
      <c r="CA819" s="51"/>
      <c r="CB819" s="51"/>
      <c r="CC819" s="51"/>
      <c r="CD819" s="51"/>
      <c r="CE819" s="51"/>
      <c r="CF819" s="51"/>
      <c r="CG819" s="51"/>
    </row>
    <row r="820" ht="30.0"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c r="BS820" s="51"/>
      <c r="BT820" s="51"/>
      <c r="BU820" s="51"/>
      <c r="BV820" s="51"/>
      <c r="BW820" s="51"/>
      <c r="BX820" s="51"/>
      <c r="BY820" s="51"/>
      <c r="BZ820" s="51"/>
      <c r="CA820" s="51"/>
      <c r="CB820" s="51"/>
      <c r="CC820" s="51"/>
      <c r="CD820" s="51"/>
      <c r="CE820" s="51"/>
      <c r="CF820" s="51"/>
      <c r="CG820" s="51"/>
    </row>
    <row r="821" ht="30.0"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c r="BS821" s="51"/>
      <c r="BT821" s="51"/>
      <c r="BU821" s="51"/>
      <c r="BV821" s="51"/>
      <c r="BW821" s="51"/>
      <c r="BX821" s="51"/>
      <c r="BY821" s="51"/>
      <c r="BZ821" s="51"/>
      <c r="CA821" s="51"/>
      <c r="CB821" s="51"/>
      <c r="CC821" s="51"/>
      <c r="CD821" s="51"/>
      <c r="CE821" s="51"/>
      <c r="CF821" s="51"/>
      <c r="CG821" s="51"/>
    </row>
    <row r="822" ht="30.0"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c r="BS822" s="51"/>
      <c r="BT822" s="51"/>
      <c r="BU822" s="51"/>
      <c r="BV822" s="51"/>
      <c r="BW822" s="51"/>
      <c r="BX822" s="51"/>
      <c r="BY822" s="51"/>
      <c r="BZ822" s="51"/>
      <c r="CA822" s="51"/>
      <c r="CB822" s="51"/>
      <c r="CC822" s="51"/>
      <c r="CD822" s="51"/>
      <c r="CE822" s="51"/>
      <c r="CF822" s="51"/>
      <c r="CG822" s="51"/>
    </row>
    <row r="823" ht="30.0"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c r="BS823" s="51"/>
      <c r="BT823" s="51"/>
      <c r="BU823" s="51"/>
      <c r="BV823" s="51"/>
      <c r="BW823" s="51"/>
      <c r="BX823" s="51"/>
      <c r="BY823" s="51"/>
      <c r="BZ823" s="51"/>
      <c r="CA823" s="51"/>
      <c r="CB823" s="51"/>
      <c r="CC823" s="51"/>
      <c r="CD823" s="51"/>
      <c r="CE823" s="51"/>
      <c r="CF823" s="51"/>
      <c r="CG823" s="51"/>
    </row>
    <row r="824" ht="30.0"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c r="BS824" s="51"/>
      <c r="BT824" s="51"/>
      <c r="BU824" s="51"/>
      <c r="BV824" s="51"/>
      <c r="BW824" s="51"/>
      <c r="BX824" s="51"/>
      <c r="BY824" s="51"/>
      <c r="BZ824" s="51"/>
      <c r="CA824" s="51"/>
      <c r="CB824" s="51"/>
      <c r="CC824" s="51"/>
      <c r="CD824" s="51"/>
      <c r="CE824" s="51"/>
      <c r="CF824" s="51"/>
      <c r="CG824" s="51"/>
    </row>
    <row r="825" ht="30.0"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c r="BS825" s="51"/>
      <c r="BT825" s="51"/>
      <c r="BU825" s="51"/>
      <c r="BV825" s="51"/>
      <c r="BW825" s="51"/>
      <c r="BX825" s="51"/>
      <c r="BY825" s="51"/>
      <c r="BZ825" s="51"/>
      <c r="CA825" s="51"/>
      <c r="CB825" s="51"/>
      <c r="CC825" s="51"/>
      <c r="CD825" s="51"/>
      <c r="CE825" s="51"/>
      <c r="CF825" s="51"/>
      <c r="CG825" s="51"/>
    </row>
    <row r="826" ht="30.0"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c r="BS826" s="51"/>
      <c r="BT826" s="51"/>
      <c r="BU826" s="51"/>
      <c r="BV826" s="51"/>
      <c r="BW826" s="51"/>
      <c r="BX826" s="51"/>
      <c r="BY826" s="51"/>
      <c r="BZ826" s="51"/>
      <c r="CA826" s="51"/>
      <c r="CB826" s="51"/>
      <c r="CC826" s="51"/>
      <c r="CD826" s="51"/>
      <c r="CE826" s="51"/>
      <c r="CF826" s="51"/>
      <c r="CG826" s="51"/>
    </row>
    <row r="827" ht="30.0"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c r="BS827" s="51"/>
      <c r="BT827" s="51"/>
      <c r="BU827" s="51"/>
      <c r="BV827" s="51"/>
      <c r="BW827" s="51"/>
      <c r="BX827" s="51"/>
      <c r="BY827" s="51"/>
      <c r="BZ827" s="51"/>
      <c r="CA827" s="51"/>
      <c r="CB827" s="51"/>
      <c r="CC827" s="51"/>
      <c r="CD827" s="51"/>
      <c r="CE827" s="51"/>
      <c r="CF827" s="51"/>
      <c r="CG827" s="51"/>
    </row>
    <row r="828" ht="30.0"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c r="BS828" s="51"/>
      <c r="BT828" s="51"/>
      <c r="BU828" s="51"/>
      <c r="BV828" s="51"/>
      <c r="BW828" s="51"/>
      <c r="BX828" s="51"/>
      <c r="BY828" s="51"/>
      <c r="BZ828" s="51"/>
      <c r="CA828" s="51"/>
      <c r="CB828" s="51"/>
      <c r="CC828" s="51"/>
      <c r="CD828" s="51"/>
      <c r="CE828" s="51"/>
      <c r="CF828" s="51"/>
      <c r="CG828" s="51"/>
    </row>
    <row r="829" ht="30.0"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c r="BS829" s="51"/>
      <c r="BT829" s="51"/>
      <c r="BU829" s="51"/>
      <c r="BV829" s="51"/>
      <c r="BW829" s="51"/>
      <c r="BX829" s="51"/>
      <c r="BY829" s="51"/>
      <c r="BZ829" s="51"/>
      <c r="CA829" s="51"/>
      <c r="CB829" s="51"/>
      <c r="CC829" s="51"/>
      <c r="CD829" s="51"/>
      <c r="CE829" s="51"/>
      <c r="CF829" s="51"/>
      <c r="CG829" s="51"/>
    </row>
    <row r="830" ht="30.0"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c r="BS830" s="51"/>
      <c r="BT830" s="51"/>
      <c r="BU830" s="51"/>
      <c r="BV830" s="51"/>
      <c r="BW830" s="51"/>
      <c r="BX830" s="51"/>
      <c r="BY830" s="51"/>
      <c r="BZ830" s="51"/>
      <c r="CA830" s="51"/>
      <c r="CB830" s="51"/>
      <c r="CC830" s="51"/>
      <c r="CD830" s="51"/>
      <c r="CE830" s="51"/>
      <c r="CF830" s="51"/>
      <c r="CG830" s="51"/>
    </row>
    <row r="831" ht="30.0"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c r="BS831" s="51"/>
      <c r="BT831" s="51"/>
      <c r="BU831" s="51"/>
      <c r="BV831" s="51"/>
      <c r="BW831" s="51"/>
      <c r="BX831" s="51"/>
      <c r="BY831" s="51"/>
      <c r="BZ831" s="51"/>
      <c r="CA831" s="51"/>
      <c r="CB831" s="51"/>
      <c r="CC831" s="51"/>
      <c r="CD831" s="51"/>
      <c r="CE831" s="51"/>
      <c r="CF831" s="51"/>
      <c r="CG831" s="51"/>
    </row>
    <row r="832" ht="30.0"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c r="BS832" s="51"/>
      <c r="BT832" s="51"/>
      <c r="BU832" s="51"/>
      <c r="BV832" s="51"/>
      <c r="BW832" s="51"/>
      <c r="BX832" s="51"/>
      <c r="BY832" s="51"/>
      <c r="BZ832" s="51"/>
      <c r="CA832" s="51"/>
      <c r="CB832" s="51"/>
      <c r="CC832" s="51"/>
      <c r="CD832" s="51"/>
      <c r="CE832" s="51"/>
      <c r="CF832" s="51"/>
      <c r="CG832" s="51"/>
    </row>
    <row r="833" ht="30.0"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c r="BS833" s="51"/>
      <c r="BT833" s="51"/>
      <c r="BU833" s="51"/>
      <c r="BV833" s="51"/>
      <c r="BW833" s="51"/>
      <c r="BX833" s="51"/>
      <c r="BY833" s="51"/>
      <c r="BZ833" s="51"/>
      <c r="CA833" s="51"/>
      <c r="CB833" s="51"/>
      <c r="CC833" s="51"/>
      <c r="CD833" s="51"/>
      <c r="CE833" s="51"/>
      <c r="CF833" s="51"/>
      <c r="CG833" s="51"/>
    </row>
    <row r="834" ht="30.0"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c r="BS834" s="51"/>
      <c r="BT834" s="51"/>
      <c r="BU834" s="51"/>
      <c r="BV834" s="51"/>
      <c r="BW834" s="51"/>
      <c r="BX834" s="51"/>
      <c r="BY834" s="51"/>
      <c r="BZ834" s="51"/>
      <c r="CA834" s="51"/>
      <c r="CB834" s="51"/>
      <c r="CC834" s="51"/>
      <c r="CD834" s="51"/>
      <c r="CE834" s="51"/>
      <c r="CF834" s="51"/>
      <c r="CG834" s="51"/>
    </row>
    <row r="835" ht="30.0"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c r="BS835" s="51"/>
      <c r="BT835" s="51"/>
      <c r="BU835" s="51"/>
      <c r="BV835" s="51"/>
      <c r="BW835" s="51"/>
      <c r="BX835" s="51"/>
      <c r="BY835" s="51"/>
      <c r="BZ835" s="51"/>
      <c r="CA835" s="51"/>
      <c r="CB835" s="51"/>
      <c r="CC835" s="51"/>
      <c r="CD835" s="51"/>
      <c r="CE835" s="51"/>
      <c r="CF835" s="51"/>
      <c r="CG835" s="51"/>
    </row>
    <row r="836" ht="30.0"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c r="BS836" s="51"/>
      <c r="BT836" s="51"/>
      <c r="BU836" s="51"/>
      <c r="BV836" s="51"/>
      <c r="BW836" s="51"/>
      <c r="BX836" s="51"/>
      <c r="BY836" s="51"/>
      <c r="BZ836" s="51"/>
      <c r="CA836" s="51"/>
      <c r="CB836" s="51"/>
      <c r="CC836" s="51"/>
      <c r="CD836" s="51"/>
      <c r="CE836" s="51"/>
      <c r="CF836" s="51"/>
      <c r="CG836" s="51"/>
    </row>
    <row r="837" ht="30.0"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c r="BS837" s="51"/>
      <c r="BT837" s="51"/>
      <c r="BU837" s="51"/>
      <c r="BV837" s="51"/>
      <c r="BW837" s="51"/>
      <c r="BX837" s="51"/>
      <c r="BY837" s="51"/>
      <c r="BZ837" s="51"/>
      <c r="CA837" s="51"/>
      <c r="CB837" s="51"/>
      <c r="CC837" s="51"/>
      <c r="CD837" s="51"/>
      <c r="CE837" s="51"/>
      <c r="CF837" s="51"/>
      <c r="CG837" s="51"/>
    </row>
    <row r="838" ht="30.0"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c r="BS838" s="51"/>
      <c r="BT838" s="51"/>
      <c r="BU838" s="51"/>
      <c r="BV838" s="51"/>
      <c r="BW838" s="51"/>
      <c r="BX838" s="51"/>
      <c r="BY838" s="51"/>
      <c r="BZ838" s="51"/>
      <c r="CA838" s="51"/>
      <c r="CB838" s="51"/>
      <c r="CC838" s="51"/>
      <c r="CD838" s="51"/>
      <c r="CE838" s="51"/>
      <c r="CF838" s="51"/>
      <c r="CG838" s="51"/>
    </row>
    <row r="839" ht="30.0"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c r="BS839" s="51"/>
      <c r="BT839" s="51"/>
      <c r="BU839" s="51"/>
      <c r="BV839" s="51"/>
      <c r="BW839" s="51"/>
      <c r="BX839" s="51"/>
      <c r="BY839" s="51"/>
      <c r="BZ839" s="51"/>
      <c r="CA839" s="51"/>
      <c r="CB839" s="51"/>
      <c r="CC839" s="51"/>
      <c r="CD839" s="51"/>
      <c r="CE839" s="51"/>
      <c r="CF839" s="51"/>
      <c r="CG839" s="51"/>
    </row>
    <row r="840" ht="30.0"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c r="BS840" s="51"/>
      <c r="BT840" s="51"/>
      <c r="BU840" s="51"/>
      <c r="BV840" s="51"/>
      <c r="BW840" s="51"/>
      <c r="BX840" s="51"/>
      <c r="BY840" s="51"/>
      <c r="BZ840" s="51"/>
      <c r="CA840" s="51"/>
      <c r="CB840" s="51"/>
      <c r="CC840" s="51"/>
      <c r="CD840" s="51"/>
      <c r="CE840" s="51"/>
      <c r="CF840" s="51"/>
      <c r="CG840" s="51"/>
    </row>
    <row r="841" ht="30.0"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c r="BS841" s="51"/>
      <c r="BT841" s="51"/>
      <c r="BU841" s="51"/>
      <c r="BV841" s="51"/>
      <c r="BW841" s="51"/>
      <c r="BX841" s="51"/>
      <c r="BY841" s="51"/>
      <c r="BZ841" s="51"/>
      <c r="CA841" s="51"/>
      <c r="CB841" s="51"/>
      <c r="CC841" s="51"/>
      <c r="CD841" s="51"/>
      <c r="CE841" s="51"/>
      <c r="CF841" s="51"/>
      <c r="CG841" s="51"/>
    </row>
    <row r="842" ht="30.0"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c r="BS842" s="51"/>
      <c r="BT842" s="51"/>
      <c r="BU842" s="51"/>
      <c r="BV842" s="51"/>
      <c r="BW842" s="51"/>
      <c r="BX842" s="51"/>
      <c r="BY842" s="51"/>
      <c r="BZ842" s="51"/>
      <c r="CA842" s="51"/>
      <c r="CB842" s="51"/>
      <c r="CC842" s="51"/>
      <c r="CD842" s="51"/>
      <c r="CE842" s="51"/>
      <c r="CF842" s="51"/>
      <c r="CG842" s="51"/>
    </row>
    <row r="843" ht="30.0"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c r="BS843" s="51"/>
      <c r="BT843" s="51"/>
      <c r="BU843" s="51"/>
      <c r="BV843" s="51"/>
      <c r="BW843" s="51"/>
      <c r="BX843" s="51"/>
      <c r="BY843" s="51"/>
      <c r="BZ843" s="51"/>
      <c r="CA843" s="51"/>
      <c r="CB843" s="51"/>
      <c r="CC843" s="51"/>
      <c r="CD843" s="51"/>
      <c r="CE843" s="51"/>
      <c r="CF843" s="51"/>
      <c r="CG843" s="51"/>
    </row>
    <row r="844" ht="30.0"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c r="BS844" s="51"/>
      <c r="BT844" s="51"/>
      <c r="BU844" s="51"/>
      <c r="BV844" s="51"/>
      <c r="BW844" s="51"/>
      <c r="BX844" s="51"/>
      <c r="BY844" s="51"/>
      <c r="BZ844" s="51"/>
      <c r="CA844" s="51"/>
      <c r="CB844" s="51"/>
      <c r="CC844" s="51"/>
      <c r="CD844" s="51"/>
      <c r="CE844" s="51"/>
      <c r="CF844" s="51"/>
      <c r="CG844" s="51"/>
    </row>
    <row r="845" ht="30.0"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c r="BS845" s="51"/>
      <c r="BT845" s="51"/>
      <c r="BU845" s="51"/>
      <c r="BV845" s="51"/>
      <c r="BW845" s="51"/>
      <c r="BX845" s="51"/>
      <c r="BY845" s="51"/>
      <c r="BZ845" s="51"/>
      <c r="CA845" s="51"/>
      <c r="CB845" s="51"/>
      <c r="CC845" s="51"/>
      <c r="CD845" s="51"/>
      <c r="CE845" s="51"/>
      <c r="CF845" s="51"/>
      <c r="CG845" s="51"/>
    </row>
    <row r="846" ht="30.0"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c r="BS846" s="51"/>
      <c r="BT846" s="51"/>
      <c r="BU846" s="51"/>
      <c r="BV846" s="51"/>
      <c r="BW846" s="51"/>
      <c r="BX846" s="51"/>
      <c r="BY846" s="51"/>
      <c r="BZ846" s="51"/>
      <c r="CA846" s="51"/>
      <c r="CB846" s="51"/>
      <c r="CC846" s="51"/>
      <c r="CD846" s="51"/>
      <c r="CE846" s="51"/>
      <c r="CF846" s="51"/>
      <c r="CG846" s="51"/>
    </row>
    <row r="847" ht="30.0"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c r="BS847" s="51"/>
      <c r="BT847" s="51"/>
      <c r="BU847" s="51"/>
      <c r="BV847" s="51"/>
      <c r="BW847" s="51"/>
      <c r="BX847" s="51"/>
      <c r="BY847" s="51"/>
      <c r="BZ847" s="51"/>
      <c r="CA847" s="51"/>
      <c r="CB847" s="51"/>
      <c r="CC847" s="51"/>
      <c r="CD847" s="51"/>
      <c r="CE847" s="51"/>
      <c r="CF847" s="51"/>
      <c r="CG847" s="51"/>
    </row>
    <row r="848" ht="30.0"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c r="BS848" s="51"/>
      <c r="BT848" s="51"/>
      <c r="BU848" s="51"/>
      <c r="BV848" s="51"/>
      <c r="BW848" s="51"/>
      <c r="BX848" s="51"/>
      <c r="BY848" s="51"/>
      <c r="BZ848" s="51"/>
      <c r="CA848" s="51"/>
      <c r="CB848" s="51"/>
      <c r="CC848" s="51"/>
      <c r="CD848" s="51"/>
      <c r="CE848" s="51"/>
      <c r="CF848" s="51"/>
      <c r="CG848" s="51"/>
    </row>
    <row r="849" ht="30.0"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c r="BS849" s="51"/>
      <c r="BT849" s="51"/>
      <c r="BU849" s="51"/>
      <c r="BV849" s="51"/>
      <c r="BW849" s="51"/>
      <c r="BX849" s="51"/>
      <c r="BY849" s="51"/>
      <c r="BZ849" s="51"/>
      <c r="CA849" s="51"/>
      <c r="CB849" s="51"/>
      <c r="CC849" s="51"/>
      <c r="CD849" s="51"/>
      <c r="CE849" s="51"/>
      <c r="CF849" s="51"/>
      <c r="CG849" s="51"/>
    </row>
    <row r="850" ht="30.0"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c r="BS850" s="51"/>
      <c r="BT850" s="51"/>
      <c r="BU850" s="51"/>
      <c r="BV850" s="51"/>
      <c r="BW850" s="51"/>
      <c r="BX850" s="51"/>
      <c r="BY850" s="51"/>
      <c r="BZ850" s="51"/>
      <c r="CA850" s="51"/>
      <c r="CB850" s="51"/>
      <c r="CC850" s="51"/>
      <c r="CD850" s="51"/>
      <c r="CE850" s="51"/>
      <c r="CF850" s="51"/>
      <c r="CG850" s="51"/>
    </row>
    <row r="851" ht="30.0"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c r="BS851" s="51"/>
      <c r="BT851" s="51"/>
      <c r="BU851" s="51"/>
      <c r="BV851" s="51"/>
      <c r="BW851" s="51"/>
      <c r="BX851" s="51"/>
      <c r="BY851" s="51"/>
      <c r="BZ851" s="51"/>
      <c r="CA851" s="51"/>
      <c r="CB851" s="51"/>
      <c r="CC851" s="51"/>
      <c r="CD851" s="51"/>
      <c r="CE851" s="51"/>
      <c r="CF851" s="51"/>
      <c r="CG851" s="51"/>
    </row>
    <row r="852" ht="30.0"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c r="BS852" s="51"/>
      <c r="BT852" s="51"/>
      <c r="BU852" s="51"/>
      <c r="BV852" s="51"/>
      <c r="BW852" s="51"/>
      <c r="BX852" s="51"/>
      <c r="BY852" s="51"/>
      <c r="BZ852" s="51"/>
      <c r="CA852" s="51"/>
      <c r="CB852" s="51"/>
      <c r="CC852" s="51"/>
      <c r="CD852" s="51"/>
      <c r="CE852" s="51"/>
      <c r="CF852" s="51"/>
      <c r="CG852" s="51"/>
    </row>
    <row r="853" ht="30.0"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c r="BS853" s="51"/>
      <c r="BT853" s="51"/>
      <c r="BU853" s="51"/>
      <c r="BV853" s="51"/>
      <c r="BW853" s="51"/>
      <c r="BX853" s="51"/>
      <c r="BY853" s="51"/>
      <c r="BZ853" s="51"/>
      <c r="CA853" s="51"/>
      <c r="CB853" s="51"/>
      <c r="CC853" s="51"/>
      <c r="CD853" s="51"/>
      <c r="CE853" s="51"/>
      <c r="CF853" s="51"/>
      <c r="CG853" s="51"/>
    </row>
    <row r="854" ht="30.0"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c r="BS854" s="51"/>
      <c r="BT854" s="51"/>
      <c r="BU854" s="51"/>
      <c r="BV854" s="51"/>
      <c r="BW854" s="51"/>
      <c r="BX854" s="51"/>
      <c r="BY854" s="51"/>
      <c r="BZ854" s="51"/>
      <c r="CA854" s="51"/>
      <c r="CB854" s="51"/>
      <c r="CC854" s="51"/>
      <c r="CD854" s="51"/>
      <c r="CE854" s="51"/>
      <c r="CF854" s="51"/>
      <c r="CG854" s="51"/>
    </row>
    <row r="855" ht="30.0"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c r="BS855" s="51"/>
      <c r="BT855" s="51"/>
      <c r="BU855" s="51"/>
      <c r="BV855" s="51"/>
      <c r="BW855" s="51"/>
      <c r="BX855" s="51"/>
      <c r="BY855" s="51"/>
      <c r="BZ855" s="51"/>
      <c r="CA855" s="51"/>
      <c r="CB855" s="51"/>
      <c r="CC855" s="51"/>
      <c r="CD855" s="51"/>
      <c r="CE855" s="51"/>
      <c r="CF855" s="51"/>
      <c r="CG855" s="51"/>
    </row>
    <row r="856" ht="30.0"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c r="BS856" s="51"/>
      <c r="BT856" s="51"/>
      <c r="BU856" s="51"/>
      <c r="BV856" s="51"/>
      <c r="BW856" s="51"/>
      <c r="BX856" s="51"/>
      <c r="BY856" s="51"/>
      <c r="BZ856" s="51"/>
      <c r="CA856" s="51"/>
      <c r="CB856" s="51"/>
      <c r="CC856" s="51"/>
      <c r="CD856" s="51"/>
      <c r="CE856" s="51"/>
      <c r="CF856" s="51"/>
      <c r="CG856" s="51"/>
    </row>
    <row r="857" ht="30.0"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c r="BS857" s="51"/>
      <c r="BT857" s="51"/>
      <c r="BU857" s="51"/>
      <c r="BV857" s="51"/>
      <c r="BW857" s="51"/>
      <c r="BX857" s="51"/>
      <c r="BY857" s="51"/>
      <c r="BZ857" s="51"/>
      <c r="CA857" s="51"/>
      <c r="CB857" s="51"/>
      <c r="CC857" s="51"/>
      <c r="CD857" s="51"/>
      <c r="CE857" s="51"/>
      <c r="CF857" s="51"/>
      <c r="CG857" s="51"/>
    </row>
    <row r="858" ht="30.0"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c r="BS858" s="51"/>
      <c r="BT858" s="51"/>
      <c r="BU858" s="51"/>
      <c r="BV858" s="51"/>
      <c r="BW858" s="51"/>
      <c r="BX858" s="51"/>
      <c r="BY858" s="51"/>
      <c r="BZ858" s="51"/>
      <c r="CA858" s="51"/>
      <c r="CB858" s="51"/>
      <c r="CC858" s="51"/>
      <c r="CD858" s="51"/>
      <c r="CE858" s="51"/>
      <c r="CF858" s="51"/>
      <c r="CG858" s="51"/>
    </row>
    <row r="859" ht="30.0"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c r="BS859" s="51"/>
      <c r="BT859" s="51"/>
      <c r="BU859" s="51"/>
      <c r="BV859" s="51"/>
      <c r="BW859" s="51"/>
      <c r="BX859" s="51"/>
      <c r="BY859" s="51"/>
      <c r="BZ859" s="51"/>
      <c r="CA859" s="51"/>
      <c r="CB859" s="51"/>
      <c r="CC859" s="51"/>
      <c r="CD859" s="51"/>
      <c r="CE859" s="51"/>
      <c r="CF859" s="51"/>
      <c r="CG859" s="51"/>
    </row>
    <row r="860" ht="30.0"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c r="BS860" s="51"/>
      <c r="BT860" s="51"/>
      <c r="BU860" s="51"/>
      <c r="BV860" s="51"/>
      <c r="BW860" s="51"/>
      <c r="BX860" s="51"/>
      <c r="BY860" s="51"/>
      <c r="BZ860" s="51"/>
      <c r="CA860" s="51"/>
      <c r="CB860" s="51"/>
      <c r="CC860" s="51"/>
      <c r="CD860" s="51"/>
      <c r="CE860" s="51"/>
      <c r="CF860" s="51"/>
      <c r="CG860" s="51"/>
    </row>
    <row r="861" ht="30.0"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c r="BS861" s="51"/>
      <c r="BT861" s="51"/>
      <c r="BU861" s="51"/>
      <c r="BV861" s="51"/>
      <c r="BW861" s="51"/>
      <c r="BX861" s="51"/>
      <c r="BY861" s="51"/>
      <c r="BZ861" s="51"/>
      <c r="CA861" s="51"/>
      <c r="CB861" s="51"/>
      <c r="CC861" s="51"/>
      <c r="CD861" s="51"/>
      <c r="CE861" s="51"/>
      <c r="CF861" s="51"/>
      <c r="CG861" s="51"/>
    </row>
    <row r="862" ht="30.0"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c r="BS862" s="51"/>
      <c r="BT862" s="51"/>
      <c r="BU862" s="51"/>
      <c r="BV862" s="51"/>
      <c r="BW862" s="51"/>
      <c r="BX862" s="51"/>
      <c r="BY862" s="51"/>
      <c r="BZ862" s="51"/>
      <c r="CA862" s="51"/>
      <c r="CB862" s="51"/>
      <c r="CC862" s="51"/>
      <c r="CD862" s="51"/>
      <c r="CE862" s="51"/>
      <c r="CF862" s="51"/>
      <c r="CG862" s="51"/>
    </row>
    <row r="863" ht="30.0"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c r="BS863" s="51"/>
      <c r="BT863" s="51"/>
      <c r="BU863" s="51"/>
      <c r="BV863" s="51"/>
      <c r="BW863" s="51"/>
      <c r="BX863" s="51"/>
      <c r="BY863" s="51"/>
      <c r="BZ863" s="51"/>
      <c r="CA863" s="51"/>
      <c r="CB863" s="51"/>
      <c r="CC863" s="51"/>
      <c r="CD863" s="51"/>
      <c r="CE863" s="51"/>
      <c r="CF863" s="51"/>
      <c r="CG863" s="51"/>
    </row>
    <row r="864" ht="30.0"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c r="BS864" s="51"/>
      <c r="BT864" s="51"/>
      <c r="BU864" s="51"/>
      <c r="BV864" s="51"/>
      <c r="BW864" s="51"/>
      <c r="BX864" s="51"/>
      <c r="BY864" s="51"/>
      <c r="BZ864" s="51"/>
      <c r="CA864" s="51"/>
      <c r="CB864" s="51"/>
      <c r="CC864" s="51"/>
      <c r="CD864" s="51"/>
      <c r="CE864" s="51"/>
      <c r="CF864" s="51"/>
      <c r="CG864" s="51"/>
    </row>
    <row r="865" ht="30.0"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c r="BS865" s="51"/>
      <c r="BT865" s="51"/>
      <c r="BU865" s="51"/>
      <c r="BV865" s="51"/>
      <c r="BW865" s="51"/>
      <c r="BX865" s="51"/>
      <c r="BY865" s="51"/>
      <c r="BZ865" s="51"/>
      <c r="CA865" s="51"/>
      <c r="CB865" s="51"/>
      <c r="CC865" s="51"/>
      <c r="CD865" s="51"/>
      <c r="CE865" s="51"/>
      <c r="CF865" s="51"/>
      <c r="CG865" s="51"/>
    </row>
    <row r="866" ht="30.0"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c r="BS866" s="51"/>
      <c r="BT866" s="51"/>
      <c r="BU866" s="51"/>
      <c r="BV866" s="51"/>
      <c r="BW866" s="51"/>
      <c r="BX866" s="51"/>
      <c r="BY866" s="51"/>
      <c r="BZ866" s="51"/>
      <c r="CA866" s="51"/>
      <c r="CB866" s="51"/>
      <c r="CC866" s="51"/>
      <c r="CD866" s="51"/>
      <c r="CE866" s="51"/>
      <c r="CF866" s="51"/>
      <c r="CG866" s="51"/>
    </row>
    <row r="867" ht="30.0"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c r="BS867" s="51"/>
      <c r="BT867" s="51"/>
      <c r="BU867" s="51"/>
      <c r="BV867" s="51"/>
      <c r="BW867" s="51"/>
      <c r="BX867" s="51"/>
      <c r="BY867" s="51"/>
      <c r="BZ867" s="51"/>
      <c r="CA867" s="51"/>
      <c r="CB867" s="51"/>
      <c r="CC867" s="51"/>
      <c r="CD867" s="51"/>
      <c r="CE867" s="51"/>
      <c r="CF867" s="51"/>
      <c r="CG867" s="51"/>
    </row>
    <row r="868" ht="30.0"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c r="BS868" s="51"/>
      <c r="BT868" s="51"/>
      <c r="BU868" s="51"/>
      <c r="BV868" s="51"/>
      <c r="BW868" s="51"/>
      <c r="BX868" s="51"/>
      <c r="BY868" s="51"/>
      <c r="BZ868" s="51"/>
      <c r="CA868" s="51"/>
      <c r="CB868" s="51"/>
      <c r="CC868" s="51"/>
      <c r="CD868" s="51"/>
      <c r="CE868" s="51"/>
      <c r="CF868" s="51"/>
      <c r="CG868" s="51"/>
    </row>
    <row r="869" ht="30.0"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c r="BS869" s="51"/>
      <c r="BT869" s="51"/>
      <c r="BU869" s="51"/>
      <c r="BV869" s="51"/>
      <c r="BW869" s="51"/>
      <c r="BX869" s="51"/>
      <c r="BY869" s="51"/>
      <c r="BZ869" s="51"/>
      <c r="CA869" s="51"/>
      <c r="CB869" s="51"/>
      <c r="CC869" s="51"/>
      <c r="CD869" s="51"/>
      <c r="CE869" s="51"/>
      <c r="CF869" s="51"/>
      <c r="CG869" s="51"/>
    </row>
    <row r="870" ht="30.0"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c r="BS870" s="51"/>
      <c r="BT870" s="51"/>
      <c r="BU870" s="51"/>
      <c r="BV870" s="51"/>
      <c r="BW870" s="51"/>
      <c r="BX870" s="51"/>
      <c r="BY870" s="51"/>
      <c r="BZ870" s="51"/>
      <c r="CA870" s="51"/>
      <c r="CB870" s="51"/>
      <c r="CC870" s="51"/>
      <c r="CD870" s="51"/>
      <c r="CE870" s="51"/>
      <c r="CF870" s="51"/>
      <c r="CG870" s="51"/>
    </row>
    <row r="871" ht="30.0"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c r="BS871" s="51"/>
      <c r="BT871" s="51"/>
      <c r="BU871" s="51"/>
      <c r="BV871" s="51"/>
      <c r="BW871" s="51"/>
      <c r="BX871" s="51"/>
      <c r="BY871" s="51"/>
      <c r="BZ871" s="51"/>
      <c r="CA871" s="51"/>
      <c r="CB871" s="51"/>
      <c r="CC871" s="51"/>
      <c r="CD871" s="51"/>
      <c r="CE871" s="51"/>
      <c r="CF871" s="51"/>
      <c r="CG871" s="51"/>
    </row>
    <row r="872" ht="30.0"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c r="BS872" s="51"/>
      <c r="BT872" s="51"/>
      <c r="BU872" s="51"/>
      <c r="BV872" s="51"/>
      <c r="BW872" s="51"/>
      <c r="BX872" s="51"/>
      <c r="BY872" s="51"/>
      <c r="BZ872" s="51"/>
      <c r="CA872" s="51"/>
      <c r="CB872" s="51"/>
      <c r="CC872" s="51"/>
      <c r="CD872" s="51"/>
      <c r="CE872" s="51"/>
      <c r="CF872" s="51"/>
      <c r="CG872" s="51"/>
    </row>
    <row r="873" ht="30.0"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c r="BS873" s="51"/>
      <c r="BT873" s="51"/>
      <c r="BU873" s="51"/>
      <c r="BV873" s="51"/>
      <c r="BW873" s="51"/>
      <c r="BX873" s="51"/>
      <c r="BY873" s="51"/>
      <c r="BZ873" s="51"/>
      <c r="CA873" s="51"/>
      <c r="CB873" s="51"/>
      <c r="CC873" s="51"/>
      <c r="CD873" s="51"/>
      <c r="CE873" s="51"/>
      <c r="CF873" s="51"/>
      <c r="CG873" s="51"/>
    </row>
    <row r="874" ht="30.0"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c r="BS874" s="51"/>
      <c r="BT874" s="51"/>
      <c r="BU874" s="51"/>
      <c r="BV874" s="51"/>
      <c r="BW874" s="51"/>
      <c r="BX874" s="51"/>
      <c r="BY874" s="51"/>
      <c r="BZ874" s="51"/>
      <c r="CA874" s="51"/>
      <c r="CB874" s="51"/>
      <c r="CC874" s="51"/>
      <c r="CD874" s="51"/>
      <c r="CE874" s="51"/>
      <c r="CF874" s="51"/>
      <c r="CG874" s="51"/>
    </row>
    <row r="875" ht="30.0"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c r="BS875" s="51"/>
      <c r="BT875" s="51"/>
      <c r="BU875" s="51"/>
      <c r="BV875" s="51"/>
      <c r="BW875" s="51"/>
      <c r="BX875" s="51"/>
      <c r="BY875" s="51"/>
      <c r="BZ875" s="51"/>
      <c r="CA875" s="51"/>
      <c r="CB875" s="51"/>
      <c r="CC875" s="51"/>
      <c r="CD875" s="51"/>
      <c r="CE875" s="51"/>
      <c r="CF875" s="51"/>
      <c r="CG875" s="51"/>
    </row>
    <row r="876" ht="30.0"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c r="BS876" s="51"/>
      <c r="BT876" s="51"/>
      <c r="BU876" s="51"/>
      <c r="BV876" s="51"/>
      <c r="BW876" s="51"/>
      <c r="BX876" s="51"/>
      <c r="BY876" s="51"/>
      <c r="BZ876" s="51"/>
      <c r="CA876" s="51"/>
      <c r="CB876" s="51"/>
      <c r="CC876" s="51"/>
      <c r="CD876" s="51"/>
      <c r="CE876" s="51"/>
      <c r="CF876" s="51"/>
      <c r="CG876" s="51"/>
    </row>
    <row r="877" ht="30.0"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c r="BS877" s="51"/>
      <c r="BT877" s="51"/>
      <c r="BU877" s="51"/>
      <c r="BV877" s="51"/>
      <c r="BW877" s="51"/>
      <c r="BX877" s="51"/>
      <c r="BY877" s="51"/>
      <c r="BZ877" s="51"/>
      <c r="CA877" s="51"/>
      <c r="CB877" s="51"/>
      <c r="CC877" s="51"/>
      <c r="CD877" s="51"/>
      <c r="CE877" s="51"/>
      <c r="CF877" s="51"/>
      <c r="CG877" s="51"/>
    </row>
    <row r="878" ht="30.0"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c r="BS878" s="51"/>
      <c r="BT878" s="51"/>
      <c r="BU878" s="51"/>
      <c r="BV878" s="51"/>
      <c r="BW878" s="51"/>
      <c r="BX878" s="51"/>
      <c r="BY878" s="51"/>
      <c r="BZ878" s="51"/>
      <c r="CA878" s="51"/>
      <c r="CB878" s="51"/>
      <c r="CC878" s="51"/>
      <c r="CD878" s="51"/>
      <c r="CE878" s="51"/>
      <c r="CF878" s="51"/>
      <c r="CG878" s="51"/>
    </row>
    <row r="879" ht="30.0"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c r="BS879" s="51"/>
      <c r="BT879" s="51"/>
      <c r="BU879" s="51"/>
      <c r="BV879" s="51"/>
      <c r="BW879" s="51"/>
      <c r="BX879" s="51"/>
      <c r="BY879" s="51"/>
      <c r="BZ879" s="51"/>
      <c r="CA879" s="51"/>
      <c r="CB879" s="51"/>
      <c r="CC879" s="51"/>
      <c r="CD879" s="51"/>
      <c r="CE879" s="51"/>
      <c r="CF879" s="51"/>
      <c r="CG879" s="51"/>
    </row>
    <row r="880" ht="30.0"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c r="BS880" s="51"/>
      <c r="BT880" s="51"/>
      <c r="BU880" s="51"/>
      <c r="BV880" s="51"/>
      <c r="BW880" s="51"/>
      <c r="BX880" s="51"/>
      <c r="BY880" s="51"/>
      <c r="BZ880" s="51"/>
      <c r="CA880" s="51"/>
      <c r="CB880" s="51"/>
      <c r="CC880" s="51"/>
      <c r="CD880" s="51"/>
      <c r="CE880" s="51"/>
      <c r="CF880" s="51"/>
      <c r="CG880" s="51"/>
    </row>
    <row r="881" ht="30.0"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c r="BS881" s="51"/>
      <c r="BT881" s="51"/>
      <c r="BU881" s="51"/>
      <c r="BV881" s="51"/>
      <c r="BW881" s="51"/>
      <c r="BX881" s="51"/>
      <c r="BY881" s="51"/>
      <c r="BZ881" s="51"/>
      <c r="CA881" s="51"/>
      <c r="CB881" s="51"/>
      <c r="CC881" s="51"/>
      <c r="CD881" s="51"/>
      <c r="CE881" s="51"/>
      <c r="CF881" s="51"/>
      <c r="CG881" s="51"/>
    </row>
    <row r="882" ht="30.0"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c r="BS882" s="51"/>
      <c r="BT882" s="51"/>
      <c r="BU882" s="51"/>
      <c r="BV882" s="51"/>
      <c r="BW882" s="51"/>
      <c r="BX882" s="51"/>
      <c r="BY882" s="51"/>
      <c r="BZ882" s="51"/>
      <c r="CA882" s="51"/>
      <c r="CB882" s="51"/>
      <c r="CC882" s="51"/>
      <c r="CD882" s="51"/>
      <c r="CE882" s="51"/>
      <c r="CF882" s="51"/>
      <c r="CG882" s="51"/>
    </row>
    <row r="883" ht="30.0"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c r="BS883" s="51"/>
      <c r="BT883" s="51"/>
      <c r="BU883" s="51"/>
      <c r="BV883" s="51"/>
      <c r="BW883" s="51"/>
      <c r="BX883" s="51"/>
      <c r="BY883" s="51"/>
      <c r="BZ883" s="51"/>
      <c r="CA883" s="51"/>
      <c r="CB883" s="51"/>
      <c r="CC883" s="51"/>
      <c r="CD883" s="51"/>
      <c r="CE883" s="51"/>
      <c r="CF883" s="51"/>
      <c r="CG883" s="51"/>
    </row>
    <row r="884" ht="30.0"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c r="BS884" s="51"/>
      <c r="BT884" s="51"/>
      <c r="BU884" s="51"/>
      <c r="BV884" s="51"/>
      <c r="BW884" s="51"/>
      <c r="BX884" s="51"/>
      <c r="BY884" s="51"/>
      <c r="BZ884" s="51"/>
      <c r="CA884" s="51"/>
      <c r="CB884" s="51"/>
      <c r="CC884" s="51"/>
      <c r="CD884" s="51"/>
      <c r="CE884" s="51"/>
      <c r="CF884" s="51"/>
      <c r="CG884" s="51"/>
    </row>
    <row r="885" ht="30.0"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c r="BS885" s="51"/>
      <c r="BT885" s="51"/>
      <c r="BU885" s="51"/>
      <c r="BV885" s="51"/>
      <c r="BW885" s="51"/>
      <c r="BX885" s="51"/>
      <c r="BY885" s="51"/>
      <c r="BZ885" s="51"/>
      <c r="CA885" s="51"/>
      <c r="CB885" s="51"/>
      <c r="CC885" s="51"/>
      <c r="CD885" s="51"/>
      <c r="CE885" s="51"/>
      <c r="CF885" s="51"/>
      <c r="CG885" s="51"/>
    </row>
    <row r="886" ht="30.0"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c r="BS886" s="51"/>
      <c r="BT886" s="51"/>
      <c r="BU886" s="51"/>
      <c r="BV886" s="51"/>
      <c r="BW886" s="51"/>
      <c r="BX886" s="51"/>
      <c r="BY886" s="51"/>
      <c r="BZ886" s="51"/>
      <c r="CA886" s="51"/>
      <c r="CB886" s="51"/>
      <c r="CC886" s="51"/>
      <c r="CD886" s="51"/>
      <c r="CE886" s="51"/>
      <c r="CF886" s="51"/>
      <c r="CG886" s="51"/>
    </row>
    <row r="887" ht="30.0"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c r="BS887" s="51"/>
      <c r="BT887" s="51"/>
      <c r="BU887" s="51"/>
      <c r="BV887" s="51"/>
      <c r="BW887" s="51"/>
      <c r="BX887" s="51"/>
      <c r="BY887" s="51"/>
      <c r="BZ887" s="51"/>
      <c r="CA887" s="51"/>
      <c r="CB887" s="51"/>
      <c r="CC887" s="51"/>
      <c r="CD887" s="51"/>
      <c r="CE887" s="51"/>
      <c r="CF887" s="51"/>
      <c r="CG887" s="51"/>
    </row>
    <row r="888" ht="30.0"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c r="BS888" s="51"/>
      <c r="BT888" s="51"/>
      <c r="BU888" s="51"/>
      <c r="BV888" s="51"/>
      <c r="BW888" s="51"/>
      <c r="BX888" s="51"/>
      <c r="BY888" s="51"/>
      <c r="BZ888" s="51"/>
      <c r="CA888" s="51"/>
      <c r="CB888" s="51"/>
      <c r="CC888" s="51"/>
      <c r="CD888" s="51"/>
      <c r="CE888" s="51"/>
      <c r="CF888" s="51"/>
      <c r="CG888" s="51"/>
    </row>
    <row r="889" ht="30.0"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c r="BS889" s="51"/>
      <c r="BT889" s="51"/>
      <c r="BU889" s="51"/>
      <c r="BV889" s="51"/>
      <c r="BW889" s="51"/>
      <c r="BX889" s="51"/>
      <c r="BY889" s="51"/>
      <c r="BZ889" s="51"/>
      <c r="CA889" s="51"/>
      <c r="CB889" s="51"/>
      <c r="CC889" s="51"/>
      <c r="CD889" s="51"/>
      <c r="CE889" s="51"/>
      <c r="CF889" s="51"/>
      <c r="CG889" s="51"/>
    </row>
    <row r="890" ht="30.0"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c r="BS890" s="51"/>
      <c r="BT890" s="51"/>
      <c r="BU890" s="51"/>
      <c r="BV890" s="51"/>
      <c r="BW890" s="51"/>
      <c r="BX890" s="51"/>
      <c r="BY890" s="51"/>
      <c r="BZ890" s="51"/>
      <c r="CA890" s="51"/>
      <c r="CB890" s="51"/>
      <c r="CC890" s="51"/>
      <c r="CD890" s="51"/>
      <c r="CE890" s="51"/>
      <c r="CF890" s="51"/>
      <c r="CG890" s="51"/>
    </row>
    <row r="891" ht="30.0"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c r="BS891" s="51"/>
      <c r="BT891" s="51"/>
      <c r="BU891" s="51"/>
      <c r="BV891" s="51"/>
      <c r="BW891" s="51"/>
      <c r="BX891" s="51"/>
      <c r="BY891" s="51"/>
      <c r="BZ891" s="51"/>
      <c r="CA891" s="51"/>
      <c r="CB891" s="51"/>
      <c r="CC891" s="51"/>
      <c r="CD891" s="51"/>
      <c r="CE891" s="51"/>
      <c r="CF891" s="51"/>
      <c r="CG891" s="51"/>
    </row>
    <row r="892" ht="30.0"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c r="BS892" s="51"/>
      <c r="BT892" s="51"/>
      <c r="BU892" s="51"/>
      <c r="BV892" s="51"/>
      <c r="BW892" s="51"/>
      <c r="BX892" s="51"/>
      <c r="BY892" s="51"/>
      <c r="BZ892" s="51"/>
      <c r="CA892" s="51"/>
      <c r="CB892" s="51"/>
      <c r="CC892" s="51"/>
      <c r="CD892" s="51"/>
      <c r="CE892" s="51"/>
      <c r="CF892" s="51"/>
      <c r="CG892" s="51"/>
    </row>
    <row r="893" ht="30.0"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c r="BS893" s="51"/>
      <c r="BT893" s="51"/>
      <c r="BU893" s="51"/>
      <c r="BV893" s="51"/>
      <c r="BW893" s="51"/>
      <c r="BX893" s="51"/>
      <c r="BY893" s="51"/>
      <c r="BZ893" s="51"/>
      <c r="CA893" s="51"/>
      <c r="CB893" s="51"/>
      <c r="CC893" s="51"/>
      <c r="CD893" s="51"/>
      <c r="CE893" s="51"/>
      <c r="CF893" s="51"/>
      <c r="CG893" s="51"/>
    </row>
    <row r="894" ht="30.0"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c r="BS894" s="51"/>
      <c r="BT894" s="51"/>
      <c r="BU894" s="51"/>
      <c r="BV894" s="51"/>
      <c r="BW894" s="51"/>
      <c r="BX894" s="51"/>
      <c r="BY894" s="51"/>
      <c r="BZ894" s="51"/>
      <c r="CA894" s="51"/>
      <c r="CB894" s="51"/>
      <c r="CC894" s="51"/>
      <c r="CD894" s="51"/>
      <c r="CE894" s="51"/>
      <c r="CF894" s="51"/>
      <c r="CG894" s="51"/>
    </row>
    <row r="895" ht="30.0"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c r="BS895" s="51"/>
      <c r="BT895" s="51"/>
      <c r="BU895" s="51"/>
      <c r="BV895" s="51"/>
      <c r="BW895" s="51"/>
      <c r="BX895" s="51"/>
      <c r="BY895" s="51"/>
      <c r="BZ895" s="51"/>
      <c r="CA895" s="51"/>
      <c r="CB895" s="51"/>
      <c r="CC895" s="51"/>
      <c r="CD895" s="51"/>
      <c r="CE895" s="51"/>
      <c r="CF895" s="51"/>
      <c r="CG895" s="51"/>
    </row>
    <row r="896" ht="30.0"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c r="BS896" s="51"/>
      <c r="BT896" s="51"/>
      <c r="BU896" s="51"/>
      <c r="BV896" s="51"/>
      <c r="BW896" s="51"/>
      <c r="BX896" s="51"/>
      <c r="BY896" s="51"/>
      <c r="BZ896" s="51"/>
      <c r="CA896" s="51"/>
      <c r="CB896" s="51"/>
      <c r="CC896" s="51"/>
      <c r="CD896" s="51"/>
      <c r="CE896" s="51"/>
      <c r="CF896" s="51"/>
      <c r="CG896" s="51"/>
    </row>
    <row r="897" ht="30.0"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c r="BS897" s="51"/>
      <c r="BT897" s="51"/>
      <c r="BU897" s="51"/>
      <c r="BV897" s="51"/>
      <c r="BW897" s="51"/>
      <c r="BX897" s="51"/>
      <c r="BY897" s="51"/>
      <c r="BZ897" s="51"/>
      <c r="CA897" s="51"/>
      <c r="CB897" s="51"/>
      <c r="CC897" s="51"/>
      <c r="CD897" s="51"/>
      <c r="CE897" s="51"/>
      <c r="CF897" s="51"/>
      <c r="CG897" s="51"/>
    </row>
    <row r="898" ht="30.0"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c r="BS898" s="51"/>
      <c r="BT898" s="51"/>
      <c r="BU898" s="51"/>
      <c r="BV898" s="51"/>
      <c r="BW898" s="51"/>
      <c r="BX898" s="51"/>
      <c r="BY898" s="51"/>
      <c r="BZ898" s="51"/>
      <c r="CA898" s="51"/>
      <c r="CB898" s="51"/>
      <c r="CC898" s="51"/>
      <c r="CD898" s="51"/>
      <c r="CE898" s="51"/>
      <c r="CF898" s="51"/>
      <c r="CG898" s="51"/>
    </row>
    <row r="899" ht="30.0"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c r="BS899" s="51"/>
      <c r="BT899" s="51"/>
      <c r="BU899" s="51"/>
      <c r="BV899" s="51"/>
      <c r="BW899" s="51"/>
      <c r="BX899" s="51"/>
      <c r="BY899" s="51"/>
      <c r="BZ899" s="51"/>
      <c r="CA899" s="51"/>
      <c r="CB899" s="51"/>
      <c r="CC899" s="51"/>
      <c r="CD899" s="51"/>
      <c r="CE899" s="51"/>
      <c r="CF899" s="51"/>
      <c r="CG899" s="51"/>
    </row>
    <row r="900" ht="30.0"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c r="BS900" s="51"/>
      <c r="BT900" s="51"/>
      <c r="BU900" s="51"/>
      <c r="BV900" s="51"/>
      <c r="BW900" s="51"/>
      <c r="BX900" s="51"/>
      <c r="BY900" s="51"/>
      <c r="BZ900" s="51"/>
      <c r="CA900" s="51"/>
      <c r="CB900" s="51"/>
      <c r="CC900" s="51"/>
      <c r="CD900" s="51"/>
      <c r="CE900" s="51"/>
      <c r="CF900" s="51"/>
      <c r="CG900" s="51"/>
    </row>
    <row r="901" ht="30.0"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c r="BS901" s="51"/>
      <c r="BT901" s="51"/>
      <c r="BU901" s="51"/>
      <c r="BV901" s="51"/>
      <c r="BW901" s="51"/>
      <c r="BX901" s="51"/>
      <c r="BY901" s="51"/>
      <c r="BZ901" s="51"/>
      <c r="CA901" s="51"/>
      <c r="CB901" s="51"/>
      <c r="CC901" s="51"/>
      <c r="CD901" s="51"/>
      <c r="CE901" s="51"/>
      <c r="CF901" s="51"/>
      <c r="CG901" s="51"/>
    </row>
    <row r="902" ht="30.0"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c r="BS902" s="51"/>
      <c r="BT902" s="51"/>
      <c r="BU902" s="51"/>
      <c r="BV902" s="51"/>
      <c r="BW902" s="51"/>
      <c r="BX902" s="51"/>
      <c r="BY902" s="51"/>
      <c r="BZ902" s="51"/>
      <c r="CA902" s="51"/>
      <c r="CB902" s="51"/>
      <c r="CC902" s="51"/>
      <c r="CD902" s="51"/>
      <c r="CE902" s="51"/>
      <c r="CF902" s="51"/>
      <c r="CG902" s="51"/>
    </row>
    <row r="903" ht="30.0"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c r="BS903" s="51"/>
      <c r="BT903" s="51"/>
      <c r="BU903" s="51"/>
      <c r="BV903" s="51"/>
      <c r="BW903" s="51"/>
      <c r="BX903" s="51"/>
      <c r="BY903" s="51"/>
      <c r="BZ903" s="51"/>
      <c r="CA903" s="51"/>
      <c r="CB903" s="51"/>
      <c r="CC903" s="51"/>
      <c r="CD903" s="51"/>
      <c r="CE903" s="51"/>
      <c r="CF903" s="51"/>
      <c r="CG903" s="51"/>
    </row>
    <row r="904" ht="30.0"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c r="BS904" s="51"/>
      <c r="BT904" s="51"/>
      <c r="BU904" s="51"/>
      <c r="BV904" s="51"/>
      <c r="BW904" s="51"/>
      <c r="BX904" s="51"/>
      <c r="BY904" s="51"/>
      <c r="BZ904" s="51"/>
      <c r="CA904" s="51"/>
      <c r="CB904" s="51"/>
      <c r="CC904" s="51"/>
      <c r="CD904" s="51"/>
      <c r="CE904" s="51"/>
      <c r="CF904" s="51"/>
      <c r="CG904" s="51"/>
    </row>
    <row r="905" ht="30.0"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c r="BS905" s="51"/>
      <c r="BT905" s="51"/>
      <c r="BU905" s="51"/>
      <c r="BV905" s="51"/>
      <c r="BW905" s="51"/>
      <c r="BX905" s="51"/>
      <c r="BY905" s="51"/>
      <c r="BZ905" s="51"/>
      <c r="CA905" s="51"/>
      <c r="CB905" s="51"/>
      <c r="CC905" s="51"/>
      <c r="CD905" s="51"/>
      <c r="CE905" s="51"/>
      <c r="CF905" s="51"/>
      <c r="CG905" s="51"/>
    </row>
    <row r="906" ht="30.0"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c r="BS906" s="51"/>
      <c r="BT906" s="51"/>
      <c r="BU906" s="51"/>
      <c r="BV906" s="51"/>
      <c r="BW906" s="51"/>
      <c r="BX906" s="51"/>
      <c r="BY906" s="51"/>
      <c r="BZ906" s="51"/>
      <c r="CA906" s="51"/>
      <c r="CB906" s="51"/>
      <c r="CC906" s="51"/>
      <c r="CD906" s="51"/>
      <c r="CE906" s="51"/>
      <c r="CF906" s="51"/>
      <c r="CG906" s="51"/>
    </row>
    <row r="907" ht="30.0"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c r="BS907" s="51"/>
      <c r="BT907" s="51"/>
      <c r="BU907" s="51"/>
      <c r="BV907" s="51"/>
      <c r="BW907" s="51"/>
      <c r="BX907" s="51"/>
      <c r="BY907" s="51"/>
      <c r="BZ907" s="51"/>
      <c r="CA907" s="51"/>
      <c r="CB907" s="51"/>
      <c r="CC907" s="51"/>
      <c r="CD907" s="51"/>
      <c r="CE907" s="51"/>
      <c r="CF907" s="51"/>
      <c r="CG907" s="51"/>
    </row>
    <row r="908" ht="30.0"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c r="BS908" s="51"/>
      <c r="BT908" s="51"/>
      <c r="BU908" s="51"/>
      <c r="BV908" s="51"/>
      <c r="BW908" s="51"/>
      <c r="BX908" s="51"/>
      <c r="BY908" s="51"/>
      <c r="BZ908" s="51"/>
      <c r="CA908" s="51"/>
      <c r="CB908" s="51"/>
      <c r="CC908" s="51"/>
      <c r="CD908" s="51"/>
      <c r="CE908" s="51"/>
      <c r="CF908" s="51"/>
      <c r="CG908" s="51"/>
    </row>
    <row r="909" ht="30.0"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c r="BS909" s="51"/>
      <c r="BT909" s="51"/>
      <c r="BU909" s="51"/>
      <c r="BV909" s="51"/>
      <c r="BW909" s="51"/>
      <c r="BX909" s="51"/>
      <c r="BY909" s="51"/>
      <c r="BZ909" s="51"/>
      <c r="CA909" s="51"/>
      <c r="CB909" s="51"/>
      <c r="CC909" s="51"/>
      <c r="CD909" s="51"/>
      <c r="CE909" s="51"/>
      <c r="CF909" s="51"/>
      <c r="CG909" s="51"/>
    </row>
    <row r="910" ht="30.0"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c r="BS910" s="51"/>
      <c r="BT910" s="51"/>
      <c r="BU910" s="51"/>
      <c r="BV910" s="51"/>
      <c r="BW910" s="51"/>
      <c r="BX910" s="51"/>
      <c r="BY910" s="51"/>
      <c r="BZ910" s="51"/>
      <c r="CA910" s="51"/>
      <c r="CB910" s="51"/>
      <c r="CC910" s="51"/>
      <c r="CD910" s="51"/>
      <c r="CE910" s="51"/>
      <c r="CF910" s="51"/>
      <c r="CG910" s="51"/>
    </row>
    <row r="911" ht="30.0"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c r="BS911" s="51"/>
      <c r="BT911" s="51"/>
      <c r="BU911" s="51"/>
      <c r="BV911" s="51"/>
      <c r="BW911" s="51"/>
      <c r="BX911" s="51"/>
      <c r="BY911" s="51"/>
      <c r="BZ911" s="51"/>
      <c r="CA911" s="51"/>
      <c r="CB911" s="51"/>
      <c r="CC911" s="51"/>
      <c r="CD911" s="51"/>
      <c r="CE911" s="51"/>
      <c r="CF911" s="51"/>
      <c r="CG911" s="51"/>
    </row>
    <row r="912" ht="30.0"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c r="BS912" s="51"/>
      <c r="BT912" s="51"/>
      <c r="BU912" s="51"/>
      <c r="BV912" s="51"/>
      <c r="BW912" s="51"/>
      <c r="BX912" s="51"/>
      <c r="BY912" s="51"/>
      <c r="BZ912" s="51"/>
      <c r="CA912" s="51"/>
      <c r="CB912" s="51"/>
      <c r="CC912" s="51"/>
      <c r="CD912" s="51"/>
      <c r="CE912" s="51"/>
      <c r="CF912" s="51"/>
      <c r="CG912" s="51"/>
    </row>
    <row r="913" ht="30.0"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c r="BS913" s="51"/>
      <c r="BT913" s="51"/>
      <c r="BU913" s="51"/>
      <c r="BV913" s="51"/>
      <c r="BW913" s="51"/>
      <c r="BX913" s="51"/>
      <c r="BY913" s="51"/>
      <c r="BZ913" s="51"/>
      <c r="CA913" s="51"/>
      <c r="CB913" s="51"/>
      <c r="CC913" s="51"/>
      <c r="CD913" s="51"/>
      <c r="CE913" s="51"/>
      <c r="CF913" s="51"/>
      <c r="CG913" s="51"/>
    </row>
    <row r="914" ht="30.0"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c r="BS914" s="51"/>
      <c r="BT914" s="51"/>
      <c r="BU914" s="51"/>
      <c r="BV914" s="51"/>
      <c r="BW914" s="51"/>
      <c r="BX914" s="51"/>
      <c r="BY914" s="51"/>
      <c r="BZ914" s="51"/>
      <c r="CA914" s="51"/>
      <c r="CB914" s="51"/>
      <c r="CC914" s="51"/>
      <c r="CD914" s="51"/>
      <c r="CE914" s="51"/>
      <c r="CF914" s="51"/>
      <c r="CG914" s="51"/>
    </row>
    <row r="915" ht="30.0"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c r="BS915" s="51"/>
      <c r="BT915" s="51"/>
      <c r="BU915" s="51"/>
      <c r="BV915" s="51"/>
      <c r="BW915" s="51"/>
      <c r="BX915" s="51"/>
      <c r="BY915" s="51"/>
      <c r="BZ915" s="51"/>
      <c r="CA915" s="51"/>
      <c r="CB915" s="51"/>
      <c r="CC915" s="51"/>
      <c r="CD915" s="51"/>
      <c r="CE915" s="51"/>
      <c r="CF915" s="51"/>
      <c r="CG915" s="51"/>
    </row>
    <row r="916" ht="30.0"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c r="BS916" s="51"/>
      <c r="BT916" s="51"/>
      <c r="BU916" s="51"/>
      <c r="BV916" s="51"/>
      <c r="BW916" s="51"/>
      <c r="BX916" s="51"/>
      <c r="BY916" s="51"/>
      <c r="BZ916" s="51"/>
      <c r="CA916" s="51"/>
      <c r="CB916" s="51"/>
      <c r="CC916" s="51"/>
      <c r="CD916" s="51"/>
      <c r="CE916" s="51"/>
      <c r="CF916" s="51"/>
      <c r="CG916" s="51"/>
    </row>
    <row r="917" ht="30.0"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c r="BS917" s="51"/>
      <c r="BT917" s="51"/>
      <c r="BU917" s="51"/>
      <c r="BV917" s="51"/>
      <c r="BW917" s="51"/>
      <c r="BX917" s="51"/>
      <c r="BY917" s="51"/>
      <c r="BZ917" s="51"/>
      <c r="CA917" s="51"/>
      <c r="CB917" s="51"/>
      <c r="CC917" s="51"/>
      <c r="CD917" s="51"/>
      <c r="CE917" s="51"/>
      <c r="CF917" s="51"/>
      <c r="CG917" s="51"/>
    </row>
    <row r="918" ht="30.0"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c r="BS918" s="51"/>
      <c r="BT918" s="51"/>
      <c r="BU918" s="51"/>
      <c r="BV918" s="51"/>
      <c r="BW918" s="51"/>
      <c r="BX918" s="51"/>
      <c r="BY918" s="51"/>
      <c r="BZ918" s="51"/>
      <c r="CA918" s="51"/>
      <c r="CB918" s="51"/>
      <c r="CC918" s="51"/>
      <c r="CD918" s="51"/>
      <c r="CE918" s="51"/>
      <c r="CF918" s="51"/>
      <c r="CG918" s="51"/>
    </row>
    <row r="919" ht="30.0"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c r="BS919" s="51"/>
      <c r="BT919" s="51"/>
      <c r="BU919" s="51"/>
      <c r="BV919" s="51"/>
      <c r="BW919" s="51"/>
      <c r="BX919" s="51"/>
      <c r="BY919" s="51"/>
      <c r="BZ919" s="51"/>
      <c r="CA919" s="51"/>
      <c r="CB919" s="51"/>
      <c r="CC919" s="51"/>
      <c r="CD919" s="51"/>
      <c r="CE919" s="51"/>
      <c r="CF919" s="51"/>
      <c r="CG919" s="51"/>
    </row>
    <row r="920" ht="30.0"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c r="BS920" s="51"/>
      <c r="BT920" s="51"/>
      <c r="BU920" s="51"/>
      <c r="BV920" s="51"/>
      <c r="BW920" s="51"/>
      <c r="BX920" s="51"/>
      <c r="BY920" s="51"/>
      <c r="BZ920" s="51"/>
      <c r="CA920" s="51"/>
      <c r="CB920" s="51"/>
      <c r="CC920" s="51"/>
      <c r="CD920" s="51"/>
      <c r="CE920" s="51"/>
      <c r="CF920" s="51"/>
      <c r="CG920" s="51"/>
    </row>
    <row r="921" ht="30.0"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c r="BS921" s="51"/>
      <c r="BT921" s="51"/>
      <c r="BU921" s="51"/>
      <c r="BV921" s="51"/>
      <c r="BW921" s="51"/>
      <c r="BX921" s="51"/>
      <c r="BY921" s="51"/>
      <c r="BZ921" s="51"/>
      <c r="CA921" s="51"/>
      <c r="CB921" s="51"/>
      <c r="CC921" s="51"/>
      <c r="CD921" s="51"/>
      <c r="CE921" s="51"/>
      <c r="CF921" s="51"/>
      <c r="CG921" s="51"/>
    </row>
    <row r="922" ht="30.0"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c r="BS922" s="51"/>
      <c r="BT922" s="51"/>
      <c r="BU922" s="51"/>
      <c r="BV922" s="51"/>
      <c r="BW922" s="51"/>
      <c r="BX922" s="51"/>
      <c r="BY922" s="51"/>
      <c r="BZ922" s="51"/>
      <c r="CA922" s="51"/>
      <c r="CB922" s="51"/>
      <c r="CC922" s="51"/>
      <c r="CD922" s="51"/>
      <c r="CE922" s="51"/>
      <c r="CF922" s="51"/>
      <c r="CG922" s="51"/>
    </row>
    <row r="923" ht="30.0"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c r="BS923" s="51"/>
      <c r="BT923" s="51"/>
      <c r="BU923" s="51"/>
      <c r="BV923" s="51"/>
      <c r="BW923" s="51"/>
      <c r="BX923" s="51"/>
      <c r="BY923" s="51"/>
      <c r="BZ923" s="51"/>
      <c r="CA923" s="51"/>
      <c r="CB923" s="51"/>
      <c r="CC923" s="51"/>
      <c r="CD923" s="51"/>
      <c r="CE923" s="51"/>
      <c r="CF923" s="51"/>
      <c r="CG923" s="51"/>
    </row>
    <row r="924" ht="30.0"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c r="BS924" s="51"/>
      <c r="BT924" s="51"/>
      <c r="BU924" s="51"/>
      <c r="BV924" s="51"/>
      <c r="BW924" s="51"/>
      <c r="BX924" s="51"/>
      <c r="BY924" s="51"/>
      <c r="BZ924" s="51"/>
      <c r="CA924" s="51"/>
      <c r="CB924" s="51"/>
      <c r="CC924" s="51"/>
      <c r="CD924" s="51"/>
      <c r="CE924" s="51"/>
      <c r="CF924" s="51"/>
      <c r="CG924" s="51"/>
    </row>
    <row r="925" ht="30.0"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c r="BS925" s="51"/>
      <c r="BT925" s="51"/>
      <c r="BU925" s="51"/>
      <c r="BV925" s="51"/>
      <c r="BW925" s="51"/>
      <c r="BX925" s="51"/>
      <c r="BY925" s="51"/>
      <c r="BZ925" s="51"/>
      <c r="CA925" s="51"/>
      <c r="CB925" s="51"/>
      <c r="CC925" s="51"/>
      <c r="CD925" s="51"/>
      <c r="CE925" s="51"/>
      <c r="CF925" s="51"/>
      <c r="CG925" s="51"/>
    </row>
    <row r="926" ht="30.0"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c r="BS926" s="51"/>
      <c r="BT926" s="51"/>
      <c r="BU926" s="51"/>
      <c r="BV926" s="51"/>
      <c r="BW926" s="51"/>
      <c r="BX926" s="51"/>
      <c r="BY926" s="51"/>
      <c r="BZ926" s="51"/>
      <c r="CA926" s="51"/>
      <c r="CB926" s="51"/>
      <c r="CC926" s="51"/>
      <c r="CD926" s="51"/>
      <c r="CE926" s="51"/>
      <c r="CF926" s="51"/>
      <c r="CG926" s="51"/>
    </row>
    <row r="927" ht="30.0"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c r="BS927" s="51"/>
      <c r="BT927" s="51"/>
      <c r="BU927" s="51"/>
      <c r="BV927" s="51"/>
      <c r="BW927" s="51"/>
      <c r="BX927" s="51"/>
      <c r="BY927" s="51"/>
      <c r="BZ927" s="51"/>
      <c r="CA927" s="51"/>
      <c r="CB927" s="51"/>
      <c r="CC927" s="51"/>
      <c r="CD927" s="51"/>
      <c r="CE927" s="51"/>
      <c r="CF927" s="51"/>
      <c r="CG927" s="51"/>
    </row>
    <row r="928" ht="30.0"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c r="BS928" s="51"/>
      <c r="BT928" s="51"/>
      <c r="BU928" s="51"/>
      <c r="BV928" s="51"/>
      <c r="BW928" s="51"/>
      <c r="BX928" s="51"/>
      <c r="BY928" s="51"/>
      <c r="BZ928" s="51"/>
      <c r="CA928" s="51"/>
      <c r="CB928" s="51"/>
      <c r="CC928" s="51"/>
      <c r="CD928" s="51"/>
      <c r="CE928" s="51"/>
      <c r="CF928" s="51"/>
      <c r="CG928" s="51"/>
    </row>
    <row r="929" ht="30.0"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c r="BS929" s="51"/>
      <c r="BT929" s="51"/>
      <c r="BU929" s="51"/>
      <c r="BV929" s="51"/>
      <c r="BW929" s="51"/>
      <c r="BX929" s="51"/>
      <c r="BY929" s="51"/>
      <c r="BZ929" s="51"/>
      <c r="CA929" s="51"/>
      <c r="CB929" s="51"/>
      <c r="CC929" s="51"/>
      <c r="CD929" s="51"/>
      <c r="CE929" s="51"/>
      <c r="CF929" s="51"/>
      <c r="CG929" s="51"/>
    </row>
    <row r="930" ht="30.0"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c r="BS930" s="51"/>
      <c r="BT930" s="51"/>
      <c r="BU930" s="51"/>
      <c r="BV930" s="51"/>
      <c r="BW930" s="51"/>
      <c r="BX930" s="51"/>
      <c r="BY930" s="51"/>
      <c r="BZ930" s="51"/>
      <c r="CA930" s="51"/>
      <c r="CB930" s="51"/>
      <c r="CC930" s="51"/>
      <c r="CD930" s="51"/>
      <c r="CE930" s="51"/>
      <c r="CF930" s="51"/>
      <c r="CG930" s="51"/>
    </row>
    <row r="931" ht="30.0"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c r="BS931" s="51"/>
      <c r="BT931" s="51"/>
      <c r="BU931" s="51"/>
      <c r="BV931" s="51"/>
      <c r="BW931" s="51"/>
      <c r="BX931" s="51"/>
      <c r="BY931" s="51"/>
      <c r="BZ931" s="51"/>
      <c r="CA931" s="51"/>
      <c r="CB931" s="51"/>
      <c r="CC931" s="51"/>
      <c r="CD931" s="51"/>
      <c r="CE931" s="51"/>
      <c r="CF931" s="51"/>
      <c r="CG931" s="51"/>
    </row>
    <row r="932" ht="30.0"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c r="BS932" s="51"/>
      <c r="BT932" s="51"/>
      <c r="BU932" s="51"/>
      <c r="BV932" s="51"/>
      <c r="BW932" s="51"/>
      <c r="BX932" s="51"/>
      <c r="BY932" s="51"/>
      <c r="BZ932" s="51"/>
      <c r="CA932" s="51"/>
      <c r="CB932" s="51"/>
      <c r="CC932" s="51"/>
      <c r="CD932" s="51"/>
      <c r="CE932" s="51"/>
      <c r="CF932" s="51"/>
      <c r="CG932" s="51"/>
    </row>
    <row r="933" ht="30.0"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c r="BS933" s="51"/>
      <c r="BT933" s="51"/>
      <c r="BU933" s="51"/>
      <c r="BV933" s="51"/>
      <c r="BW933" s="51"/>
      <c r="BX933" s="51"/>
      <c r="BY933" s="51"/>
      <c r="BZ933" s="51"/>
      <c r="CA933" s="51"/>
      <c r="CB933" s="51"/>
      <c r="CC933" s="51"/>
      <c r="CD933" s="51"/>
      <c r="CE933" s="51"/>
      <c r="CF933" s="51"/>
      <c r="CG933" s="51"/>
    </row>
    <row r="934" ht="30.0"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c r="BS934" s="51"/>
      <c r="BT934" s="51"/>
      <c r="BU934" s="51"/>
      <c r="BV934" s="51"/>
      <c r="BW934" s="51"/>
      <c r="BX934" s="51"/>
      <c r="BY934" s="51"/>
      <c r="BZ934" s="51"/>
      <c r="CA934" s="51"/>
      <c r="CB934" s="51"/>
      <c r="CC934" s="51"/>
      <c r="CD934" s="51"/>
      <c r="CE934" s="51"/>
      <c r="CF934" s="51"/>
      <c r="CG934" s="51"/>
    </row>
    <row r="935" ht="30.0"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c r="BS935" s="51"/>
      <c r="BT935" s="51"/>
      <c r="BU935" s="51"/>
      <c r="BV935" s="51"/>
      <c r="BW935" s="51"/>
      <c r="BX935" s="51"/>
      <c r="BY935" s="51"/>
      <c r="BZ935" s="51"/>
      <c r="CA935" s="51"/>
      <c r="CB935" s="51"/>
      <c r="CC935" s="51"/>
      <c r="CD935" s="51"/>
      <c r="CE935" s="51"/>
      <c r="CF935" s="51"/>
      <c r="CG935" s="51"/>
    </row>
    <row r="936" ht="30.0"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c r="BS936" s="51"/>
      <c r="BT936" s="51"/>
      <c r="BU936" s="51"/>
      <c r="BV936" s="51"/>
      <c r="BW936" s="51"/>
      <c r="BX936" s="51"/>
      <c r="BY936" s="51"/>
      <c r="BZ936" s="51"/>
      <c r="CA936" s="51"/>
      <c r="CB936" s="51"/>
      <c r="CC936" s="51"/>
      <c r="CD936" s="51"/>
      <c r="CE936" s="51"/>
      <c r="CF936" s="51"/>
      <c r="CG936" s="51"/>
    </row>
    <row r="937" ht="30.0"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c r="BS937" s="51"/>
      <c r="BT937" s="51"/>
      <c r="BU937" s="51"/>
      <c r="BV937" s="51"/>
      <c r="BW937" s="51"/>
      <c r="BX937" s="51"/>
      <c r="BY937" s="51"/>
      <c r="BZ937" s="51"/>
      <c r="CA937" s="51"/>
      <c r="CB937" s="51"/>
      <c r="CC937" s="51"/>
      <c r="CD937" s="51"/>
      <c r="CE937" s="51"/>
      <c r="CF937" s="51"/>
      <c r="CG937" s="51"/>
    </row>
    <row r="938" ht="30.0"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c r="BS938" s="51"/>
      <c r="BT938" s="51"/>
      <c r="BU938" s="51"/>
      <c r="BV938" s="51"/>
      <c r="BW938" s="51"/>
      <c r="BX938" s="51"/>
      <c r="BY938" s="51"/>
      <c r="BZ938" s="51"/>
      <c r="CA938" s="51"/>
      <c r="CB938" s="51"/>
      <c r="CC938" s="51"/>
      <c r="CD938" s="51"/>
      <c r="CE938" s="51"/>
      <c r="CF938" s="51"/>
      <c r="CG938" s="51"/>
    </row>
    <row r="939" ht="30.0"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c r="BS939" s="51"/>
      <c r="BT939" s="51"/>
      <c r="BU939" s="51"/>
      <c r="BV939" s="51"/>
      <c r="BW939" s="51"/>
      <c r="BX939" s="51"/>
      <c r="BY939" s="51"/>
      <c r="BZ939" s="51"/>
      <c r="CA939" s="51"/>
      <c r="CB939" s="51"/>
      <c r="CC939" s="51"/>
      <c r="CD939" s="51"/>
      <c r="CE939" s="51"/>
      <c r="CF939" s="51"/>
      <c r="CG939" s="51"/>
    </row>
    <row r="940" ht="30.0"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c r="BS940" s="51"/>
      <c r="BT940" s="51"/>
      <c r="BU940" s="51"/>
      <c r="BV940" s="51"/>
      <c r="BW940" s="51"/>
      <c r="BX940" s="51"/>
      <c r="BY940" s="51"/>
      <c r="BZ940" s="51"/>
      <c r="CA940" s="51"/>
      <c r="CB940" s="51"/>
      <c r="CC940" s="51"/>
      <c r="CD940" s="51"/>
      <c r="CE940" s="51"/>
      <c r="CF940" s="51"/>
      <c r="CG940" s="51"/>
    </row>
    <row r="941" ht="30.0"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c r="BS941" s="51"/>
      <c r="BT941" s="51"/>
      <c r="BU941" s="51"/>
      <c r="BV941" s="51"/>
      <c r="BW941" s="51"/>
      <c r="BX941" s="51"/>
      <c r="BY941" s="51"/>
      <c r="BZ941" s="51"/>
      <c r="CA941" s="51"/>
      <c r="CB941" s="51"/>
      <c r="CC941" s="51"/>
      <c r="CD941" s="51"/>
      <c r="CE941" s="51"/>
      <c r="CF941" s="51"/>
      <c r="CG941" s="51"/>
    </row>
    <row r="942" ht="30.0"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c r="BS942" s="51"/>
      <c r="BT942" s="51"/>
      <c r="BU942" s="51"/>
      <c r="BV942" s="51"/>
      <c r="BW942" s="51"/>
      <c r="BX942" s="51"/>
      <c r="BY942" s="51"/>
      <c r="BZ942" s="51"/>
      <c r="CA942" s="51"/>
      <c r="CB942" s="51"/>
      <c r="CC942" s="51"/>
      <c r="CD942" s="51"/>
      <c r="CE942" s="51"/>
      <c r="CF942" s="51"/>
      <c r="CG942" s="51"/>
    </row>
    <row r="943" ht="30.0"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c r="BS943" s="51"/>
      <c r="BT943" s="51"/>
      <c r="BU943" s="51"/>
      <c r="BV943" s="51"/>
      <c r="BW943" s="51"/>
      <c r="BX943" s="51"/>
      <c r="BY943" s="51"/>
      <c r="BZ943" s="51"/>
      <c r="CA943" s="51"/>
      <c r="CB943" s="51"/>
      <c r="CC943" s="51"/>
      <c r="CD943" s="51"/>
      <c r="CE943" s="51"/>
      <c r="CF943" s="51"/>
      <c r="CG943" s="51"/>
    </row>
    <row r="944" ht="30.0"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c r="BS944" s="51"/>
      <c r="BT944" s="51"/>
      <c r="BU944" s="51"/>
      <c r="BV944" s="51"/>
      <c r="BW944" s="51"/>
      <c r="BX944" s="51"/>
      <c r="BY944" s="51"/>
      <c r="BZ944" s="51"/>
      <c r="CA944" s="51"/>
      <c r="CB944" s="51"/>
      <c r="CC944" s="51"/>
      <c r="CD944" s="51"/>
      <c r="CE944" s="51"/>
      <c r="CF944" s="51"/>
      <c r="CG944" s="51"/>
    </row>
    <row r="945" ht="30.0"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c r="BS945" s="51"/>
      <c r="BT945" s="51"/>
      <c r="BU945" s="51"/>
      <c r="BV945" s="51"/>
      <c r="BW945" s="51"/>
      <c r="BX945" s="51"/>
      <c r="BY945" s="51"/>
      <c r="BZ945" s="51"/>
      <c r="CA945" s="51"/>
      <c r="CB945" s="51"/>
      <c r="CC945" s="51"/>
      <c r="CD945" s="51"/>
      <c r="CE945" s="51"/>
      <c r="CF945" s="51"/>
      <c r="CG945" s="51"/>
    </row>
    <row r="946" ht="30.0"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c r="BS946" s="51"/>
      <c r="BT946" s="51"/>
      <c r="BU946" s="51"/>
      <c r="BV946" s="51"/>
      <c r="BW946" s="51"/>
      <c r="BX946" s="51"/>
      <c r="BY946" s="51"/>
      <c r="BZ946" s="51"/>
      <c r="CA946" s="51"/>
      <c r="CB946" s="51"/>
      <c r="CC946" s="51"/>
      <c r="CD946" s="51"/>
      <c r="CE946" s="51"/>
      <c r="CF946" s="51"/>
      <c r="CG946" s="51"/>
    </row>
    <row r="947" ht="30.0"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c r="BS947" s="51"/>
      <c r="BT947" s="51"/>
      <c r="BU947" s="51"/>
      <c r="BV947" s="51"/>
      <c r="BW947" s="51"/>
      <c r="BX947" s="51"/>
      <c r="BY947" s="51"/>
      <c r="BZ947" s="51"/>
      <c r="CA947" s="51"/>
      <c r="CB947" s="51"/>
      <c r="CC947" s="51"/>
      <c r="CD947" s="51"/>
      <c r="CE947" s="51"/>
      <c r="CF947" s="51"/>
      <c r="CG947" s="51"/>
    </row>
    <row r="948" ht="30.0"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c r="BS948" s="51"/>
      <c r="BT948" s="51"/>
      <c r="BU948" s="51"/>
      <c r="BV948" s="51"/>
      <c r="BW948" s="51"/>
      <c r="BX948" s="51"/>
      <c r="BY948" s="51"/>
      <c r="BZ948" s="51"/>
      <c r="CA948" s="51"/>
      <c r="CB948" s="51"/>
      <c r="CC948" s="51"/>
      <c r="CD948" s="51"/>
      <c r="CE948" s="51"/>
      <c r="CF948" s="51"/>
      <c r="CG948" s="51"/>
    </row>
    <row r="949" ht="30.0"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c r="BS949" s="51"/>
      <c r="BT949" s="51"/>
      <c r="BU949" s="51"/>
      <c r="BV949" s="51"/>
      <c r="BW949" s="51"/>
      <c r="BX949" s="51"/>
      <c r="BY949" s="51"/>
      <c r="BZ949" s="51"/>
      <c r="CA949" s="51"/>
      <c r="CB949" s="51"/>
      <c r="CC949" s="51"/>
      <c r="CD949" s="51"/>
      <c r="CE949" s="51"/>
      <c r="CF949" s="51"/>
      <c r="CG949" s="51"/>
    </row>
    <row r="950" ht="30.0"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c r="BS950" s="51"/>
      <c r="BT950" s="51"/>
      <c r="BU950" s="51"/>
      <c r="BV950" s="51"/>
      <c r="BW950" s="51"/>
      <c r="BX950" s="51"/>
      <c r="BY950" s="51"/>
      <c r="BZ950" s="51"/>
      <c r="CA950" s="51"/>
      <c r="CB950" s="51"/>
      <c r="CC950" s="51"/>
      <c r="CD950" s="51"/>
      <c r="CE950" s="51"/>
      <c r="CF950" s="51"/>
      <c r="CG950" s="51"/>
    </row>
    <row r="951" ht="30.0"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c r="BS951" s="51"/>
      <c r="BT951" s="51"/>
      <c r="BU951" s="51"/>
      <c r="BV951" s="51"/>
      <c r="BW951" s="51"/>
      <c r="BX951" s="51"/>
      <c r="BY951" s="51"/>
      <c r="BZ951" s="51"/>
      <c r="CA951" s="51"/>
      <c r="CB951" s="51"/>
      <c r="CC951" s="51"/>
      <c r="CD951" s="51"/>
      <c r="CE951" s="51"/>
      <c r="CF951" s="51"/>
      <c r="CG951" s="51"/>
    </row>
    <row r="952" ht="30.0"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c r="BS952" s="51"/>
      <c r="BT952" s="51"/>
      <c r="BU952" s="51"/>
      <c r="BV952" s="51"/>
      <c r="BW952" s="51"/>
      <c r="BX952" s="51"/>
      <c r="BY952" s="51"/>
      <c r="BZ952" s="51"/>
      <c r="CA952" s="51"/>
      <c r="CB952" s="51"/>
      <c r="CC952" s="51"/>
      <c r="CD952" s="51"/>
      <c r="CE952" s="51"/>
      <c r="CF952" s="51"/>
      <c r="CG952" s="51"/>
    </row>
    <row r="953" ht="30.0"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c r="BS953" s="51"/>
      <c r="BT953" s="51"/>
      <c r="BU953" s="51"/>
      <c r="BV953" s="51"/>
      <c r="BW953" s="51"/>
      <c r="BX953" s="51"/>
      <c r="BY953" s="51"/>
      <c r="BZ953" s="51"/>
      <c r="CA953" s="51"/>
      <c r="CB953" s="51"/>
      <c r="CC953" s="51"/>
      <c r="CD953" s="51"/>
      <c r="CE953" s="51"/>
      <c r="CF953" s="51"/>
      <c r="CG953" s="51"/>
    </row>
    <row r="954" ht="30.0"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c r="BS954" s="51"/>
      <c r="BT954" s="51"/>
      <c r="BU954" s="51"/>
      <c r="BV954" s="51"/>
      <c r="BW954" s="51"/>
      <c r="BX954" s="51"/>
      <c r="BY954" s="51"/>
      <c r="BZ954" s="51"/>
      <c r="CA954" s="51"/>
      <c r="CB954" s="51"/>
      <c r="CC954" s="51"/>
      <c r="CD954" s="51"/>
      <c r="CE954" s="51"/>
      <c r="CF954" s="51"/>
      <c r="CG954" s="51"/>
    </row>
    <row r="955" ht="30.0"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c r="BS955" s="51"/>
      <c r="BT955" s="51"/>
      <c r="BU955" s="51"/>
      <c r="BV955" s="51"/>
      <c r="BW955" s="51"/>
      <c r="BX955" s="51"/>
      <c r="BY955" s="51"/>
      <c r="BZ955" s="51"/>
      <c r="CA955" s="51"/>
      <c r="CB955" s="51"/>
      <c r="CC955" s="51"/>
      <c r="CD955" s="51"/>
      <c r="CE955" s="51"/>
      <c r="CF955" s="51"/>
      <c r="CG955" s="51"/>
    </row>
    <row r="956" ht="30.0"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c r="BS956" s="51"/>
      <c r="BT956" s="51"/>
      <c r="BU956" s="51"/>
      <c r="BV956" s="51"/>
      <c r="BW956" s="51"/>
      <c r="BX956" s="51"/>
      <c r="BY956" s="51"/>
      <c r="BZ956" s="51"/>
      <c r="CA956" s="51"/>
      <c r="CB956" s="51"/>
      <c r="CC956" s="51"/>
      <c r="CD956" s="51"/>
      <c r="CE956" s="51"/>
      <c r="CF956" s="51"/>
      <c r="CG956" s="51"/>
    </row>
    <row r="957" ht="30.0"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c r="BS957" s="51"/>
      <c r="BT957" s="51"/>
      <c r="BU957" s="51"/>
      <c r="BV957" s="51"/>
      <c r="BW957" s="51"/>
      <c r="BX957" s="51"/>
      <c r="BY957" s="51"/>
      <c r="BZ957" s="51"/>
      <c r="CA957" s="51"/>
      <c r="CB957" s="51"/>
      <c r="CC957" s="51"/>
      <c r="CD957" s="51"/>
      <c r="CE957" s="51"/>
      <c r="CF957" s="51"/>
      <c r="CG957" s="51"/>
    </row>
    <row r="958" ht="30.0"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c r="BS958" s="51"/>
      <c r="BT958" s="51"/>
      <c r="BU958" s="51"/>
      <c r="BV958" s="51"/>
      <c r="BW958" s="51"/>
      <c r="BX958" s="51"/>
      <c r="BY958" s="51"/>
      <c r="BZ958" s="51"/>
      <c r="CA958" s="51"/>
      <c r="CB958" s="51"/>
      <c r="CC958" s="51"/>
      <c r="CD958" s="51"/>
      <c r="CE958" s="51"/>
      <c r="CF958" s="51"/>
      <c r="CG958" s="51"/>
    </row>
    <row r="959" ht="30.0"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c r="BS959" s="51"/>
      <c r="BT959" s="51"/>
      <c r="BU959" s="51"/>
      <c r="BV959" s="51"/>
      <c r="BW959" s="51"/>
      <c r="BX959" s="51"/>
      <c r="BY959" s="51"/>
      <c r="BZ959" s="51"/>
      <c r="CA959" s="51"/>
      <c r="CB959" s="51"/>
      <c r="CC959" s="51"/>
      <c r="CD959" s="51"/>
      <c r="CE959" s="51"/>
      <c r="CF959" s="51"/>
      <c r="CG959" s="51"/>
    </row>
    <row r="960" ht="30.0"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c r="BS960" s="51"/>
      <c r="BT960" s="51"/>
      <c r="BU960" s="51"/>
      <c r="BV960" s="51"/>
      <c r="BW960" s="51"/>
      <c r="BX960" s="51"/>
      <c r="BY960" s="51"/>
      <c r="BZ960" s="51"/>
      <c r="CA960" s="51"/>
      <c r="CB960" s="51"/>
      <c r="CC960" s="51"/>
      <c r="CD960" s="51"/>
      <c r="CE960" s="51"/>
      <c r="CF960" s="51"/>
      <c r="CG960" s="51"/>
    </row>
    <row r="961" ht="30.0"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c r="BS961" s="51"/>
      <c r="BT961" s="51"/>
      <c r="BU961" s="51"/>
      <c r="BV961" s="51"/>
      <c r="BW961" s="51"/>
      <c r="BX961" s="51"/>
      <c r="BY961" s="51"/>
      <c r="BZ961" s="51"/>
      <c r="CA961" s="51"/>
      <c r="CB961" s="51"/>
      <c r="CC961" s="51"/>
      <c r="CD961" s="51"/>
      <c r="CE961" s="51"/>
      <c r="CF961" s="51"/>
      <c r="CG961" s="51"/>
    </row>
    <row r="962" ht="30.0"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c r="BS962" s="51"/>
      <c r="BT962" s="51"/>
      <c r="BU962" s="51"/>
      <c r="BV962" s="51"/>
      <c r="BW962" s="51"/>
      <c r="BX962" s="51"/>
      <c r="BY962" s="51"/>
      <c r="BZ962" s="51"/>
      <c r="CA962" s="51"/>
      <c r="CB962" s="51"/>
      <c r="CC962" s="51"/>
      <c r="CD962" s="51"/>
      <c r="CE962" s="51"/>
      <c r="CF962" s="51"/>
      <c r="CG962" s="51"/>
    </row>
    <row r="963" ht="30.0"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c r="BS963" s="51"/>
      <c r="BT963" s="51"/>
      <c r="BU963" s="51"/>
      <c r="BV963" s="51"/>
      <c r="BW963" s="51"/>
      <c r="BX963" s="51"/>
      <c r="BY963" s="51"/>
      <c r="BZ963" s="51"/>
      <c r="CA963" s="51"/>
      <c r="CB963" s="51"/>
      <c r="CC963" s="51"/>
      <c r="CD963" s="51"/>
      <c r="CE963" s="51"/>
      <c r="CF963" s="51"/>
      <c r="CG963" s="51"/>
    </row>
    <row r="964" ht="30.0"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c r="BS964" s="51"/>
      <c r="BT964" s="51"/>
      <c r="BU964" s="51"/>
      <c r="BV964" s="51"/>
      <c r="BW964" s="51"/>
      <c r="BX964" s="51"/>
      <c r="BY964" s="51"/>
      <c r="BZ964" s="51"/>
      <c r="CA964" s="51"/>
      <c r="CB964" s="51"/>
      <c r="CC964" s="51"/>
      <c r="CD964" s="51"/>
      <c r="CE964" s="51"/>
      <c r="CF964" s="51"/>
      <c r="CG964" s="51"/>
    </row>
    <row r="965" ht="30.0"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c r="BS965" s="51"/>
      <c r="BT965" s="51"/>
      <c r="BU965" s="51"/>
      <c r="BV965" s="51"/>
      <c r="BW965" s="51"/>
      <c r="BX965" s="51"/>
      <c r="BY965" s="51"/>
      <c r="BZ965" s="51"/>
      <c r="CA965" s="51"/>
      <c r="CB965" s="51"/>
      <c r="CC965" s="51"/>
      <c r="CD965" s="51"/>
      <c r="CE965" s="51"/>
      <c r="CF965" s="51"/>
      <c r="CG965" s="51"/>
    </row>
    <row r="966" ht="30.0"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c r="BS966" s="51"/>
      <c r="BT966" s="51"/>
      <c r="BU966" s="51"/>
      <c r="BV966" s="51"/>
      <c r="BW966" s="51"/>
      <c r="BX966" s="51"/>
      <c r="BY966" s="51"/>
      <c r="BZ966" s="51"/>
      <c r="CA966" s="51"/>
      <c r="CB966" s="51"/>
      <c r="CC966" s="51"/>
      <c r="CD966" s="51"/>
      <c r="CE966" s="51"/>
      <c r="CF966" s="51"/>
      <c r="CG966" s="51"/>
    </row>
    <row r="967" ht="30.0"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c r="BS967" s="51"/>
      <c r="BT967" s="51"/>
      <c r="BU967" s="51"/>
      <c r="BV967" s="51"/>
      <c r="BW967" s="51"/>
      <c r="BX967" s="51"/>
      <c r="BY967" s="51"/>
      <c r="BZ967" s="51"/>
      <c r="CA967" s="51"/>
      <c r="CB967" s="51"/>
      <c r="CC967" s="51"/>
      <c r="CD967" s="51"/>
      <c r="CE967" s="51"/>
      <c r="CF967" s="51"/>
      <c r="CG967" s="51"/>
    </row>
    <row r="968" ht="30.0"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c r="BS968" s="51"/>
      <c r="BT968" s="51"/>
      <c r="BU968" s="51"/>
      <c r="BV968" s="51"/>
      <c r="BW968" s="51"/>
      <c r="BX968" s="51"/>
      <c r="BY968" s="51"/>
      <c r="BZ968" s="51"/>
      <c r="CA968" s="51"/>
      <c r="CB968" s="51"/>
      <c r="CC968" s="51"/>
      <c r="CD968" s="51"/>
      <c r="CE968" s="51"/>
      <c r="CF968" s="51"/>
      <c r="CG968" s="51"/>
    </row>
    <row r="969" ht="30.0"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c r="BS969" s="51"/>
      <c r="BT969" s="51"/>
      <c r="BU969" s="51"/>
      <c r="BV969" s="51"/>
      <c r="BW969" s="51"/>
      <c r="BX969" s="51"/>
      <c r="BY969" s="51"/>
      <c r="BZ969" s="51"/>
      <c r="CA969" s="51"/>
      <c r="CB969" s="51"/>
      <c r="CC969" s="51"/>
      <c r="CD969" s="51"/>
      <c r="CE969" s="51"/>
      <c r="CF969" s="51"/>
      <c r="CG969" s="51"/>
    </row>
    <row r="970" ht="30.0"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c r="BS970" s="51"/>
      <c r="BT970" s="51"/>
      <c r="BU970" s="51"/>
      <c r="BV970" s="51"/>
      <c r="BW970" s="51"/>
      <c r="BX970" s="51"/>
      <c r="BY970" s="51"/>
      <c r="BZ970" s="51"/>
      <c r="CA970" s="51"/>
      <c r="CB970" s="51"/>
      <c r="CC970" s="51"/>
      <c r="CD970" s="51"/>
      <c r="CE970" s="51"/>
      <c r="CF970" s="51"/>
      <c r="CG970" s="51"/>
    </row>
    <row r="971" ht="30.0"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c r="BS971" s="51"/>
      <c r="BT971" s="51"/>
      <c r="BU971" s="51"/>
      <c r="BV971" s="51"/>
      <c r="BW971" s="51"/>
      <c r="BX971" s="51"/>
      <c r="BY971" s="51"/>
      <c r="BZ971" s="51"/>
      <c r="CA971" s="51"/>
      <c r="CB971" s="51"/>
      <c r="CC971" s="51"/>
      <c r="CD971" s="51"/>
      <c r="CE971" s="51"/>
      <c r="CF971" s="51"/>
      <c r="CG971" s="51"/>
    </row>
    <row r="972" ht="30.0"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c r="BS972" s="51"/>
      <c r="BT972" s="51"/>
      <c r="BU972" s="51"/>
      <c r="BV972" s="51"/>
      <c r="BW972" s="51"/>
      <c r="BX972" s="51"/>
      <c r="BY972" s="51"/>
      <c r="BZ972" s="51"/>
      <c r="CA972" s="51"/>
      <c r="CB972" s="51"/>
      <c r="CC972" s="51"/>
      <c r="CD972" s="51"/>
      <c r="CE972" s="51"/>
      <c r="CF972" s="51"/>
      <c r="CG972" s="51"/>
    </row>
    <row r="973" ht="30.0"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c r="BS973" s="51"/>
      <c r="BT973" s="51"/>
      <c r="BU973" s="51"/>
      <c r="BV973" s="51"/>
      <c r="BW973" s="51"/>
      <c r="BX973" s="51"/>
      <c r="BY973" s="51"/>
      <c r="BZ973" s="51"/>
      <c r="CA973" s="51"/>
      <c r="CB973" s="51"/>
      <c r="CC973" s="51"/>
      <c r="CD973" s="51"/>
      <c r="CE973" s="51"/>
      <c r="CF973" s="51"/>
      <c r="CG973" s="51"/>
    </row>
    <row r="974" ht="30.0"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c r="BS974" s="51"/>
      <c r="BT974" s="51"/>
      <c r="BU974" s="51"/>
      <c r="BV974" s="51"/>
      <c r="BW974" s="51"/>
      <c r="BX974" s="51"/>
      <c r="BY974" s="51"/>
      <c r="BZ974" s="51"/>
      <c r="CA974" s="51"/>
      <c r="CB974" s="51"/>
      <c r="CC974" s="51"/>
      <c r="CD974" s="51"/>
      <c r="CE974" s="51"/>
      <c r="CF974" s="51"/>
      <c r="CG974" s="51"/>
    </row>
    <row r="975" ht="30.0"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c r="BS975" s="51"/>
      <c r="BT975" s="51"/>
      <c r="BU975" s="51"/>
      <c r="BV975" s="51"/>
      <c r="BW975" s="51"/>
      <c r="BX975" s="51"/>
      <c r="BY975" s="51"/>
      <c r="BZ975" s="51"/>
      <c r="CA975" s="51"/>
      <c r="CB975" s="51"/>
      <c r="CC975" s="51"/>
      <c r="CD975" s="51"/>
      <c r="CE975" s="51"/>
      <c r="CF975" s="51"/>
      <c r="CG975" s="51"/>
    </row>
    <row r="976" ht="30.0"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c r="BS976" s="51"/>
      <c r="BT976" s="51"/>
      <c r="BU976" s="51"/>
      <c r="BV976" s="51"/>
      <c r="BW976" s="51"/>
      <c r="BX976" s="51"/>
      <c r="BY976" s="51"/>
      <c r="BZ976" s="51"/>
      <c r="CA976" s="51"/>
      <c r="CB976" s="51"/>
      <c r="CC976" s="51"/>
      <c r="CD976" s="51"/>
      <c r="CE976" s="51"/>
      <c r="CF976" s="51"/>
      <c r="CG976" s="51"/>
    </row>
    <row r="977" ht="30.0"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c r="BS977" s="51"/>
      <c r="BT977" s="51"/>
      <c r="BU977" s="51"/>
      <c r="BV977" s="51"/>
      <c r="BW977" s="51"/>
      <c r="BX977" s="51"/>
      <c r="BY977" s="51"/>
      <c r="BZ977" s="51"/>
      <c r="CA977" s="51"/>
      <c r="CB977" s="51"/>
      <c r="CC977" s="51"/>
      <c r="CD977" s="51"/>
      <c r="CE977" s="51"/>
      <c r="CF977" s="51"/>
      <c r="CG977" s="51"/>
    </row>
    <row r="978" ht="30.0"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c r="BS978" s="51"/>
      <c r="BT978" s="51"/>
      <c r="BU978" s="51"/>
      <c r="BV978" s="51"/>
      <c r="BW978" s="51"/>
      <c r="BX978" s="51"/>
      <c r="BY978" s="51"/>
      <c r="BZ978" s="51"/>
      <c r="CA978" s="51"/>
      <c r="CB978" s="51"/>
      <c r="CC978" s="51"/>
      <c r="CD978" s="51"/>
      <c r="CE978" s="51"/>
      <c r="CF978" s="51"/>
      <c r="CG978" s="51"/>
    </row>
    <row r="979" ht="30.0"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c r="BI979" s="51"/>
      <c r="BJ979" s="51"/>
      <c r="BK979" s="51"/>
      <c r="BL979" s="51"/>
      <c r="BM979" s="51"/>
      <c r="BN979" s="51"/>
      <c r="BO979" s="51"/>
      <c r="BP979" s="51"/>
      <c r="BQ979" s="51"/>
      <c r="BR979" s="51"/>
      <c r="BS979" s="51"/>
      <c r="BT979" s="51"/>
      <c r="BU979" s="51"/>
      <c r="BV979" s="51"/>
      <c r="BW979" s="51"/>
      <c r="BX979" s="51"/>
      <c r="BY979" s="51"/>
      <c r="BZ979" s="51"/>
      <c r="CA979" s="51"/>
      <c r="CB979" s="51"/>
      <c r="CC979" s="51"/>
      <c r="CD979" s="51"/>
      <c r="CE979" s="51"/>
      <c r="CF979" s="51"/>
      <c r="CG979" s="51"/>
    </row>
    <row r="980" ht="30.0"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c r="BS980" s="51"/>
      <c r="BT980" s="51"/>
      <c r="BU980" s="51"/>
      <c r="BV980" s="51"/>
      <c r="BW980" s="51"/>
      <c r="BX980" s="51"/>
      <c r="BY980" s="51"/>
      <c r="BZ980" s="51"/>
      <c r="CA980" s="51"/>
      <c r="CB980" s="51"/>
      <c r="CC980" s="51"/>
      <c r="CD980" s="51"/>
      <c r="CE980" s="51"/>
      <c r="CF980" s="51"/>
      <c r="CG980" s="51"/>
    </row>
    <row r="981" ht="30.0"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c r="BS981" s="51"/>
      <c r="BT981" s="51"/>
      <c r="BU981" s="51"/>
      <c r="BV981" s="51"/>
      <c r="BW981" s="51"/>
      <c r="BX981" s="51"/>
      <c r="BY981" s="51"/>
      <c r="BZ981" s="51"/>
      <c r="CA981" s="51"/>
      <c r="CB981" s="51"/>
      <c r="CC981" s="51"/>
      <c r="CD981" s="51"/>
      <c r="CE981" s="51"/>
      <c r="CF981" s="51"/>
      <c r="CG981" s="51"/>
    </row>
    <row r="982" ht="30.0"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c r="BS982" s="51"/>
      <c r="BT982" s="51"/>
      <c r="BU982" s="51"/>
      <c r="BV982" s="51"/>
      <c r="BW982" s="51"/>
      <c r="BX982" s="51"/>
      <c r="BY982" s="51"/>
      <c r="BZ982" s="51"/>
      <c r="CA982" s="51"/>
      <c r="CB982" s="51"/>
      <c r="CC982" s="51"/>
      <c r="CD982" s="51"/>
      <c r="CE982" s="51"/>
      <c r="CF982" s="51"/>
      <c r="CG982" s="51"/>
    </row>
    <row r="983" ht="30.0"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c r="BS983" s="51"/>
      <c r="BT983" s="51"/>
      <c r="BU983" s="51"/>
      <c r="BV983" s="51"/>
      <c r="BW983" s="51"/>
      <c r="BX983" s="51"/>
      <c r="BY983" s="51"/>
      <c r="BZ983" s="51"/>
      <c r="CA983" s="51"/>
      <c r="CB983" s="51"/>
      <c r="CC983" s="51"/>
      <c r="CD983" s="51"/>
      <c r="CE983" s="51"/>
      <c r="CF983" s="51"/>
      <c r="CG983" s="51"/>
    </row>
    <row r="984" ht="30.0"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c r="BS984" s="51"/>
      <c r="BT984" s="51"/>
      <c r="BU984" s="51"/>
      <c r="BV984" s="51"/>
      <c r="BW984" s="51"/>
      <c r="BX984" s="51"/>
      <c r="BY984" s="51"/>
      <c r="BZ984" s="51"/>
      <c r="CA984" s="51"/>
      <c r="CB984" s="51"/>
      <c r="CC984" s="51"/>
      <c r="CD984" s="51"/>
      <c r="CE984" s="51"/>
      <c r="CF984" s="51"/>
      <c r="CG984" s="51"/>
    </row>
    <row r="985" ht="30.0"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c r="BS985" s="51"/>
      <c r="BT985" s="51"/>
      <c r="BU985" s="51"/>
      <c r="BV985" s="51"/>
      <c r="BW985" s="51"/>
      <c r="BX985" s="51"/>
      <c r="BY985" s="51"/>
      <c r="BZ985" s="51"/>
      <c r="CA985" s="51"/>
      <c r="CB985" s="51"/>
      <c r="CC985" s="51"/>
      <c r="CD985" s="51"/>
      <c r="CE985" s="51"/>
      <c r="CF985" s="51"/>
      <c r="CG985" s="51"/>
    </row>
    <row r="986" ht="30.0"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c r="BS986" s="51"/>
      <c r="BT986" s="51"/>
      <c r="BU986" s="51"/>
      <c r="BV986" s="51"/>
      <c r="BW986" s="51"/>
      <c r="BX986" s="51"/>
      <c r="BY986" s="51"/>
      <c r="BZ986" s="51"/>
      <c r="CA986" s="51"/>
      <c r="CB986" s="51"/>
      <c r="CC986" s="51"/>
      <c r="CD986" s="51"/>
      <c r="CE986" s="51"/>
      <c r="CF986" s="51"/>
      <c r="CG986" s="51"/>
    </row>
    <row r="987" ht="30.0"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c r="BS987" s="51"/>
      <c r="BT987" s="51"/>
      <c r="BU987" s="51"/>
      <c r="BV987" s="51"/>
      <c r="BW987" s="51"/>
      <c r="BX987" s="51"/>
      <c r="BY987" s="51"/>
      <c r="BZ987" s="51"/>
      <c r="CA987" s="51"/>
      <c r="CB987" s="51"/>
      <c r="CC987" s="51"/>
      <c r="CD987" s="51"/>
      <c r="CE987" s="51"/>
      <c r="CF987" s="51"/>
      <c r="CG987" s="51"/>
    </row>
    <row r="988" ht="30.0"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c r="BS988" s="51"/>
      <c r="BT988" s="51"/>
      <c r="BU988" s="51"/>
      <c r="BV988" s="51"/>
      <c r="BW988" s="51"/>
      <c r="BX988" s="51"/>
      <c r="BY988" s="51"/>
      <c r="BZ988" s="51"/>
      <c r="CA988" s="51"/>
      <c r="CB988" s="51"/>
      <c r="CC988" s="51"/>
      <c r="CD988" s="51"/>
      <c r="CE988" s="51"/>
      <c r="CF988" s="51"/>
      <c r="CG988" s="51"/>
    </row>
    <row r="989" ht="30.0"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c r="BS989" s="51"/>
      <c r="BT989" s="51"/>
      <c r="BU989" s="51"/>
      <c r="BV989" s="51"/>
      <c r="BW989" s="51"/>
      <c r="BX989" s="51"/>
      <c r="BY989" s="51"/>
      <c r="BZ989" s="51"/>
      <c r="CA989" s="51"/>
      <c r="CB989" s="51"/>
      <c r="CC989" s="51"/>
      <c r="CD989" s="51"/>
      <c r="CE989" s="51"/>
      <c r="CF989" s="51"/>
      <c r="CG989" s="51"/>
    </row>
    <row r="990" ht="30.0"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c r="BS990" s="51"/>
      <c r="BT990" s="51"/>
      <c r="BU990" s="51"/>
      <c r="BV990" s="51"/>
      <c r="BW990" s="51"/>
      <c r="BX990" s="51"/>
      <c r="BY990" s="51"/>
      <c r="BZ990" s="51"/>
      <c r="CA990" s="51"/>
      <c r="CB990" s="51"/>
      <c r="CC990" s="51"/>
      <c r="CD990" s="51"/>
      <c r="CE990" s="51"/>
      <c r="CF990" s="51"/>
      <c r="CG990" s="51"/>
    </row>
    <row r="991" ht="30.0"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c r="BS991" s="51"/>
      <c r="BT991" s="51"/>
      <c r="BU991" s="51"/>
      <c r="BV991" s="51"/>
      <c r="BW991" s="51"/>
      <c r="BX991" s="51"/>
      <c r="BY991" s="51"/>
      <c r="BZ991" s="51"/>
      <c r="CA991" s="51"/>
      <c r="CB991" s="51"/>
      <c r="CC991" s="51"/>
      <c r="CD991" s="51"/>
      <c r="CE991" s="51"/>
      <c r="CF991" s="51"/>
      <c r="CG991" s="51"/>
    </row>
    <row r="992" ht="30.0"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c r="BS992" s="51"/>
      <c r="BT992" s="51"/>
      <c r="BU992" s="51"/>
      <c r="BV992" s="51"/>
      <c r="BW992" s="51"/>
      <c r="BX992" s="51"/>
      <c r="BY992" s="51"/>
      <c r="BZ992" s="51"/>
      <c r="CA992" s="51"/>
      <c r="CB992" s="51"/>
      <c r="CC992" s="51"/>
      <c r="CD992" s="51"/>
      <c r="CE992" s="51"/>
      <c r="CF992" s="51"/>
      <c r="CG992" s="51"/>
    </row>
    <row r="993" ht="30.0"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c r="BS993" s="51"/>
      <c r="BT993" s="51"/>
      <c r="BU993" s="51"/>
      <c r="BV993" s="51"/>
      <c r="BW993" s="51"/>
      <c r="BX993" s="51"/>
      <c r="BY993" s="51"/>
      <c r="BZ993" s="51"/>
      <c r="CA993" s="51"/>
      <c r="CB993" s="51"/>
      <c r="CC993" s="51"/>
      <c r="CD993" s="51"/>
      <c r="CE993" s="51"/>
      <c r="CF993" s="51"/>
      <c r="CG993" s="51"/>
    </row>
    <row r="994" ht="30.0"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c r="BS994" s="51"/>
      <c r="BT994" s="51"/>
      <c r="BU994" s="51"/>
      <c r="BV994" s="51"/>
      <c r="BW994" s="51"/>
      <c r="BX994" s="51"/>
      <c r="BY994" s="51"/>
      <c r="BZ994" s="51"/>
      <c r="CA994" s="51"/>
      <c r="CB994" s="51"/>
      <c r="CC994" s="51"/>
      <c r="CD994" s="51"/>
      <c r="CE994" s="51"/>
      <c r="CF994" s="51"/>
      <c r="CG994" s="51"/>
    </row>
    <row r="995" ht="30.0"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c r="BS995" s="51"/>
      <c r="BT995" s="51"/>
      <c r="BU995" s="51"/>
      <c r="BV995" s="51"/>
      <c r="BW995" s="51"/>
      <c r="BX995" s="51"/>
      <c r="BY995" s="51"/>
      <c r="BZ995" s="51"/>
      <c r="CA995" s="51"/>
      <c r="CB995" s="51"/>
      <c r="CC995" s="51"/>
      <c r="CD995" s="51"/>
      <c r="CE995" s="51"/>
      <c r="CF995" s="51"/>
      <c r="CG995" s="51"/>
    </row>
    <row r="996" ht="30.0"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c r="BS996" s="51"/>
      <c r="BT996" s="51"/>
      <c r="BU996" s="51"/>
      <c r="BV996" s="51"/>
      <c r="BW996" s="51"/>
      <c r="BX996" s="51"/>
      <c r="BY996" s="51"/>
      <c r="BZ996" s="51"/>
      <c r="CA996" s="51"/>
      <c r="CB996" s="51"/>
      <c r="CC996" s="51"/>
      <c r="CD996" s="51"/>
      <c r="CE996" s="51"/>
      <c r="CF996" s="51"/>
      <c r="CG996" s="51"/>
    </row>
    <row r="997" ht="30.0"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c r="BS997" s="51"/>
      <c r="BT997" s="51"/>
      <c r="BU997" s="51"/>
      <c r="BV997" s="51"/>
      <c r="BW997" s="51"/>
      <c r="BX997" s="51"/>
      <c r="BY997" s="51"/>
      <c r="BZ997" s="51"/>
      <c r="CA997" s="51"/>
      <c r="CB997" s="51"/>
      <c r="CC997" s="51"/>
      <c r="CD997" s="51"/>
      <c r="CE997" s="51"/>
      <c r="CF997" s="51"/>
      <c r="CG997" s="51"/>
    </row>
    <row r="998" ht="30.0"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c r="BS998" s="51"/>
      <c r="BT998" s="51"/>
      <c r="BU998" s="51"/>
      <c r="BV998" s="51"/>
      <c r="BW998" s="51"/>
      <c r="BX998" s="51"/>
      <c r="BY998" s="51"/>
      <c r="BZ998" s="51"/>
      <c r="CA998" s="51"/>
      <c r="CB998" s="51"/>
      <c r="CC998" s="51"/>
      <c r="CD998" s="51"/>
      <c r="CE998" s="51"/>
      <c r="CF998" s="51"/>
      <c r="CG998" s="51"/>
    </row>
    <row r="999" ht="30.0"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c r="BS999" s="51"/>
      <c r="BT999" s="51"/>
      <c r="BU999" s="51"/>
      <c r="BV999" s="51"/>
      <c r="BW999" s="51"/>
      <c r="BX999" s="51"/>
      <c r="BY999" s="51"/>
      <c r="BZ999" s="51"/>
      <c r="CA999" s="51"/>
      <c r="CB999" s="51"/>
      <c r="CC999" s="51"/>
      <c r="CD999" s="51"/>
      <c r="CE999" s="51"/>
      <c r="CF999" s="51"/>
      <c r="CG999" s="51"/>
    </row>
    <row r="1000" ht="30.0"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c r="BS1000" s="51"/>
      <c r="BT1000" s="51"/>
      <c r="BU1000" s="51"/>
      <c r="BV1000" s="51"/>
      <c r="BW1000" s="51"/>
      <c r="BX1000" s="51"/>
      <c r="BY1000" s="51"/>
      <c r="BZ1000" s="51"/>
      <c r="CA1000" s="51"/>
      <c r="CB1000" s="51"/>
      <c r="CC1000" s="51"/>
      <c r="CD1000" s="51"/>
      <c r="CE1000" s="51"/>
      <c r="CF1000" s="51"/>
      <c r="CG1000" s="51"/>
    </row>
  </sheetData>
  <mergeCells count="508">
    <mergeCell ref="AM4:AW4"/>
    <mergeCell ref="AY4:BI4"/>
    <mergeCell ref="BK4:BU4"/>
    <mergeCell ref="BW4:CG4"/>
    <mergeCell ref="CI4:CS4"/>
    <mergeCell ref="O4:Y4"/>
    <mergeCell ref="P5:Y5"/>
    <mergeCell ref="AB5:AK5"/>
    <mergeCell ref="AN5:AW5"/>
    <mergeCell ref="AZ5:BI5"/>
    <mergeCell ref="CJ5:CS5"/>
    <mergeCell ref="D6:M6"/>
    <mergeCell ref="P6:Y6"/>
    <mergeCell ref="AB6:AK6"/>
    <mergeCell ref="AN6:AW6"/>
    <mergeCell ref="AZ6:BI6"/>
    <mergeCell ref="CJ6:CS6"/>
    <mergeCell ref="D7:M7"/>
    <mergeCell ref="P7:Y7"/>
    <mergeCell ref="AZ7:BI7"/>
    <mergeCell ref="AY8:BI8"/>
    <mergeCell ref="BX6:CG6"/>
    <mergeCell ref="BX7:CG7"/>
    <mergeCell ref="CJ7:CS7"/>
    <mergeCell ref="CI8:CS8"/>
    <mergeCell ref="AB7:AK7"/>
    <mergeCell ref="AN7:AW7"/>
    <mergeCell ref="C8:M8"/>
    <mergeCell ref="O8:Y8"/>
    <mergeCell ref="AA8:AK8"/>
    <mergeCell ref="AM8:AW8"/>
    <mergeCell ref="C9:M17"/>
    <mergeCell ref="O9:Y17"/>
    <mergeCell ref="C18:M18"/>
    <mergeCell ref="O18:Y18"/>
    <mergeCell ref="AA18:AK18"/>
    <mergeCell ref="AM18:AW18"/>
    <mergeCell ref="C19:C24"/>
    <mergeCell ref="D19:M24"/>
    <mergeCell ref="O19:O24"/>
    <mergeCell ref="P19:Y24"/>
    <mergeCell ref="AA19:AA24"/>
    <mergeCell ref="AB19:AK24"/>
    <mergeCell ref="AM19:AM24"/>
    <mergeCell ref="AN19:AW24"/>
    <mergeCell ref="C25:C28"/>
    <mergeCell ref="D25:M28"/>
    <mergeCell ref="O25:O28"/>
    <mergeCell ref="P25:Y28"/>
    <mergeCell ref="AA25:AA28"/>
    <mergeCell ref="AB25:AK28"/>
    <mergeCell ref="AM25:AM28"/>
    <mergeCell ref="AN25:AW28"/>
    <mergeCell ref="C29:C30"/>
    <mergeCell ref="D29:G30"/>
    <mergeCell ref="H29:H30"/>
    <mergeCell ref="I29:M30"/>
    <mergeCell ref="O29:O30"/>
    <mergeCell ref="P29:S30"/>
    <mergeCell ref="T29:T30"/>
    <mergeCell ref="U29:Y30"/>
    <mergeCell ref="AA29:AA30"/>
    <mergeCell ref="AB29:AE30"/>
    <mergeCell ref="AF29:AF30"/>
    <mergeCell ref="AG29:AK30"/>
    <mergeCell ref="AM29:AM30"/>
    <mergeCell ref="AN29:AQ30"/>
    <mergeCell ref="BD29:BD30"/>
    <mergeCell ref="BE29:BI30"/>
    <mergeCell ref="AY18:BI18"/>
    <mergeCell ref="AY19:AY24"/>
    <mergeCell ref="AZ19:BI24"/>
    <mergeCell ref="AY25:AY28"/>
    <mergeCell ref="AZ25:BI28"/>
    <mergeCell ref="AY29:AY30"/>
    <mergeCell ref="AZ29:BC30"/>
    <mergeCell ref="BE34:BE35"/>
    <mergeCell ref="BF34:BF35"/>
    <mergeCell ref="AY31:AY32"/>
    <mergeCell ref="AZ31:BI32"/>
    <mergeCell ref="AY33:BI33"/>
    <mergeCell ref="AZ34:BA35"/>
    <mergeCell ref="BB34:BB35"/>
    <mergeCell ref="BC34:BC35"/>
    <mergeCell ref="BD34:BD35"/>
    <mergeCell ref="BI34:BI35"/>
    <mergeCell ref="BQ34:BQ35"/>
    <mergeCell ref="BR34:BR35"/>
    <mergeCell ref="BS34:BS35"/>
    <mergeCell ref="BT34:BT35"/>
    <mergeCell ref="BU34:BU35"/>
    <mergeCell ref="BG34:BG35"/>
    <mergeCell ref="BH34:BH35"/>
    <mergeCell ref="BK34:BK39"/>
    <mergeCell ref="BL34:BM35"/>
    <mergeCell ref="BN34:BN35"/>
    <mergeCell ref="BO34:BO35"/>
    <mergeCell ref="BP34:BP35"/>
    <mergeCell ref="BK8:BU8"/>
    <mergeCell ref="BW8:CG8"/>
    <mergeCell ref="AY9:BI17"/>
    <mergeCell ref="BK9:BU17"/>
    <mergeCell ref="CI9:CS17"/>
    <mergeCell ref="BK18:BU18"/>
    <mergeCell ref="CI18:CS18"/>
    <mergeCell ref="BK19:BK24"/>
    <mergeCell ref="BL19:BU24"/>
    <mergeCell ref="BW19:BW24"/>
    <mergeCell ref="BX19:CG24"/>
    <mergeCell ref="CI19:CI24"/>
    <mergeCell ref="CJ19:CS24"/>
    <mergeCell ref="BK25:BK28"/>
    <mergeCell ref="BL25:BU28"/>
    <mergeCell ref="BW25:BW28"/>
    <mergeCell ref="BX25:CG28"/>
    <mergeCell ref="CI25:CI28"/>
    <mergeCell ref="CJ25:CS28"/>
    <mergeCell ref="BK29:BK30"/>
    <mergeCell ref="BL29:BO30"/>
    <mergeCell ref="BP29:BP30"/>
    <mergeCell ref="BQ29:BU30"/>
    <mergeCell ref="CI29:CI30"/>
    <mergeCell ref="CJ29:CM30"/>
    <mergeCell ref="CN29:CN30"/>
    <mergeCell ref="CO29:CS30"/>
    <mergeCell ref="CJ31:CS32"/>
    <mergeCell ref="CI33:CS33"/>
    <mergeCell ref="CN34:CN35"/>
    <mergeCell ref="CO34:CO35"/>
    <mergeCell ref="CP34:CP35"/>
    <mergeCell ref="CQ34:CQ35"/>
    <mergeCell ref="CR34:CR35"/>
    <mergeCell ref="CS34:CS35"/>
    <mergeCell ref="CJ36:CK39"/>
    <mergeCell ref="CO36:CO39"/>
    <mergeCell ref="CP36:CP39"/>
    <mergeCell ref="CQ36:CQ39"/>
    <mergeCell ref="CS36:CS39"/>
    <mergeCell ref="CD34:CD35"/>
    <mergeCell ref="CE34:CE35"/>
    <mergeCell ref="CF34:CF35"/>
    <mergeCell ref="CG34:CG35"/>
    <mergeCell ref="CJ34:CK35"/>
    <mergeCell ref="CL34:CL35"/>
    <mergeCell ref="CM34:CM35"/>
    <mergeCell ref="BW9:CG17"/>
    <mergeCell ref="BW18:CG18"/>
    <mergeCell ref="CB29:CB30"/>
    <mergeCell ref="CC29:CG30"/>
    <mergeCell ref="BK31:BK32"/>
    <mergeCell ref="BL31:BU32"/>
    <mergeCell ref="BW31:BW32"/>
    <mergeCell ref="BX31:CG32"/>
    <mergeCell ref="CI31:CI32"/>
    <mergeCell ref="BK33:BU33"/>
    <mergeCell ref="BW33:CG33"/>
    <mergeCell ref="BJ4:BJ33"/>
    <mergeCell ref="BV4:BV33"/>
    <mergeCell ref="CH4:CH33"/>
    <mergeCell ref="BL5:BU5"/>
    <mergeCell ref="BX5:CG5"/>
    <mergeCell ref="BL6:BU6"/>
    <mergeCell ref="BL7:BU7"/>
    <mergeCell ref="BW29:BW30"/>
    <mergeCell ref="BX29:CA30"/>
    <mergeCell ref="BX34:BY35"/>
    <mergeCell ref="BZ34:BZ35"/>
    <mergeCell ref="CA34:CA35"/>
    <mergeCell ref="CB34:CB35"/>
    <mergeCell ref="CC34:CC35"/>
    <mergeCell ref="AG36:AG40"/>
    <mergeCell ref="AG41:AG44"/>
    <mergeCell ref="AB45:AC48"/>
    <mergeCell ref="AD45:AD48"/>
    <mergeCell ref="AG45:AG48"/>
    <mergeCell ref="AH45:AH48"/>
    <mergeCell ref="AJ45:AJ48"/>
    <mergeCell ref="AK45:AK48"/>
    <mergeCell ref="AB36:AC39"/>
    <mergeCell ref="AD36:AD44"/>
    <mergeCell ref="AE36:AE48"/>
    <mergeCell ref="AF36:AF48"/>
    <mergeCell ref="AI36:AI39"/>
    <mergeCell ref="AB40:AC44"/>
    <mergeCell ref="AI40:AI44"/>
    <mergeCell ref="AI45:AI48"/>
    <mergeCell ref="AA31:AA32"/>
    <mergeCell ref="AB31:AK32"/>
    <mergeCell ref="AE34:AE35"/>
    <mergeCell ref="AF34:AF35"/>
    <mergeCell ref="AG34:AG35"/>
    <mergeCell ref="AH34:AH35"/>
    <mergeCell ref="AI34:AI35"/>
    <mergeCell ref="AJ36:AJ39"/>
    <mergeCell ref="AK36:AK39"/>
    <mergeCell ref="AJ40:AJ44"/>
    <mergeCell ref="AK40:AK44"/>
    <mergeCell ref="AQ36:AQ44"/>
    <mergeCell ref="AR36:AR44"/>
    <mergeCell ref="AN40:AO44"/>
    <mergeCell ref="AP40:AP44"/>
    <mergeCell ref="AS36:AS44"/>
    <mergeCell ref="AT36:AT39"/>
    <mergeCell ref="AT40:AT44"/>
    <mergeCell ref="AU40:AU44"/>
    <mergeCell ref="AU36:AU39"/>
    <mergeCell ref="AV36:AV39"/>
    <mergeCell ref="AW36:AW44"/>
    <mergeCell ref="AZ36:BA39"/>
    <mergeCell ref="AV40:AV44"/>
    <mergeCell ref="AZ40:BA44"/>
    <mergeCell ref="AH36:AH39"/>
    <mergeCell ref="AH40:AH44"/>
    <mergeCell ref="V44:V47"/>
    <mergeCell ref="W44:W47"/>
    <mergeCell ref="V34:V35"/>
    <mergeCell ref="W34:W35"/>
    <mergeCell ref="X34:X35"/>
    <mergeCell ref="Y34:Y35"/>
    <mergeCell ref="AA34:AA48"/>
    <mergeCell ref="V40:V43"/>
    <mergeCell ref="W40:W43"/>
    <mergeCell ref="AR29:AR30"/>
    <mergeCell ref="AS29:AW30"/>
    <mergeCell ref="C33:M33"/>
    <mergeCell ref="O33:Y33"/>
    <mergeCell ref="AA33:AK33"/>
    <mergeCell ref="AM33:AW33"/>
    <mergeCell ref="AJ34:AJ35"/>
    <mergeCell ref="AK34:AK35"/>
    <mergeCell ref="AM34:AM44"/>
    <mergeCell ref="AV34:AV35"/>
    <mergeCell ref="AW34:AW35"/>
    <mergeCell ref="AM31:AM32"/>
    <mergeCell ref="AN31:AW32"/>
    <mergeCell ref="AQ34:AQ35"/>
    <mergeCell ref="AR34:AR35"/>
    <mergeCell ref="AS34:AS35"/>
    <mergeCell ref="AT34:AT35"/>
    <mergeCell ref="AU34:AU35"/>
    <mergeCell ref="P44:Q47"/>
    <mergeCell ref="R44:R47"/>
    <mergeCell ref="U44:U47"/>
    <mergeCell ref="D34:E35"/>
    <mergeCell ref="D36:E39"/>
    <mergeCell ref="G34:G35"/>
    <mergeCell ref="G36:G57"/>
    <mergeCell ref="H34:H35"/>
    <mergeCell ref="I36:I39"/>
    <mergeCell ref="F36:F44"/>
    <mergeCell ref="D40:E44"/>
    <mergeCell ref="D50:E53"/>
    <mergeCell ref="D54:E57"/>
    <mergeCell ref="F54:F57"/>
    <mergeCell ref="I40:I44"/>
    <mergeCell ref="J40:J44"/>
    <mergeCell ref="I45:I49"/>
    <mergeCell ref="J45:J49"/>
    <mergeCell ref="I50:I53"/>
    <mergeCell ref="J50:J53"/>
    <mergeCell ref="I54:I57"/>
    <mergeCell ref="J54:J57"/>
    <mergeCell ref="V53:V56"/>
    <mergeCell ref="W53:W56"/>
    <mergeCell ref="M45:M53"/>
    <mergeCell ref="P48:Q52"/>
    <mergeCell ref="R62:R65"/>
    <mergeCell ref="P66:Q70"/>
    <mergeCell ref="R66:R70"/>
    <mergeCell ref="R48:R52"/>
    <mergeCell ref="R71:R90"/>
    <mergeCell ref="P74:Q76"/>
    <mergeCell ref="P77:Q80"/>
    <mergeCell ref="P71:Q73"/>
    <mergeCell ref="P81:Q85"/>
    <mergeCell ref="P86:Q90"/>
    <mergeCell ref="P91:Q94"/>
    <mergeCell ref="R91:R94"/>
    <mergeCell ref="P95:Q98"/>
    <mergeCell ref="R95:R98"/>
    <mergeCell ref="K34:K35"/>
    <mergeCell ref="L34:L35"/>
    <mergeCell ref="O34:O98"/>
    <mergeCell ref="K36:K39"/>
    <mergeCell ref="M36:M44"/>
    <mergeCell ref="S36:S76"/>
    <mergeCell ref="S77:S98"/>
    <mergeCell ref="K40:K44"/>
    <mergeCell ref="P40:Q43"/>
    <mergeCell ref="L36:L44"/>
    <mergeCell ref="L45:L53"/>
    <mergeCell ref="K45:K49"/>
    <mergeCell ref="K50:K53"/>
    <mergeCell ref="P53:Q56"/>
    <mergeCell ref="R53:R56"/>
    <mergeCell ref="K54:K57"/>
    <mergeCell ref="L54:L57"/>
    <mergeCell ref="M54:M57"/>
    <mergeCell ref="P57:Q61"/>
    <mergeCell ref="R57:R61"/>
    <mergeCell ref="P62:Q65"/>
    <mergeCell ref="V62:V65"/>
    <mergeCell ref="W62:W65"/>
    <mergeCell ref="V77:V80"/>
    <mergeCell ref="W77:W80"/>
    <mergeCell ref="Y77:Y80"/>
    <mergeCell ref="V81:V85"/>
    <mergeCell ref="W81:W85"/>
    <mergeCell ref="Y81:Y90"/>
    <mergeCell ref="V86:V90"/>
    <mergeCell ref="W86:W90"/>
    <mergeCell ref="V91:V94"/>
    <mergeCell ref="W91:W94"/>
    <mergeCell ref="Y91:Y94"/>
    <mergeCell ref="V95:V98"/>
    <mergeCell ref="W95:W98"/>
    <mergeCell ref="Y95:Y98"/>
    <mergeCell ref="X36:X98"/>
    <mergeCell ref="Y36:Y70"/>
    <mergeCell ref="V48:V52"/>
    <mergeCell ref="W48:W52"/>
    <mergeCell ref="W57:W61"/>
    <mergeCell ref="Y71:Y73"/>
    <mergeCell ref="Y74:Y76"/>
    <mergeCell ref="U57:U61"/>
    <mergeCell ref="V57:V61"/>
    <mergeCell ref="U53:U56"/>
    <mergeCell ref="U62:U65"/>
    <mergeCell ref="U66:U70"/>
    <mergeCell ref="V66:V70"/>
    <mergeCell ref="W66:W70"/>
    <mergeCell ref="U71:U73"/>
    <mergeCell ref="V71:V73"/>
    <mergeCell ref="W71:W73"/>
    <mergeCell ref="U48:U52"/>
    <mergeCell ref="U74:U76"/>
    <mergeCell ref="U77:U80"/>
    <mergeCell ref="U81:U85"/>
    <mergeCell ref="U86:U90"/>
    <mergeCell ref="U91:U94"/>
    <mergeCell ref="U95:U98"/>
    <mergeCell ref="V74:V76"/>
    <mergeCell ref="W74:W76"/>
    <mergeCell ref="T36:T76"/>
    <mergeCell ref="T77:T98"/>
    <mergeCell ref="CF36:CF65"/>
    <mergeCell ref="CG36:CG49"/>
    <mergeCell ref="CG50:CG53"/>
    <mergeCell ref="CG61:CG65"/>
    <mergeCell ref="BW34:BW65"/>
    <mergeCell ref="BX45:BY49"/>
    <mergeCell ref="BX50:BY53"/>
    <mergeCell ref="BX54:BY57"/>
    <mergeCell ref="BZ45:BZ53"/>
    <mergeCell ref="CC45:CC49"/>
    <mergeCell ref="CC50:CC53"/>
    <mergeCell ref="CD45:CD49"/>
    <mergeCell ref="CE45:CE49"/>
    <mergeCell ref="AZ45:BA49"/>
    <mergeCell ref="AZ54:BA57"/>
    <mergeCell ref="BZ54:BZ57"/>
    <mergeCell ref="CC54:CC57"/>
    <mergeCell ref="CD54:CD57"/>
    <mergeCell ref="CE54:CE57"/>
    <mergeCell ref="CD61:CD65"/>
    <mergeCell ref="CE61:CE65"/>
    <mergeCell ref="AN34:AO35"/>
    <mergeCell ref="AP34:AP35"/>
    <mergeCell ref="CI34:CI65"/>
    <mergeCell ref="AN36:AO39"/>
    <mergeCell ref="AP36:AP39"/>
    <mergeCell ref="CE50:CE53"/>
    <mergeCell ref="CG54:CG57"/>
    <mergeCell ref="CG58:CG60"/>
    <mergeCell ref="BB61:BB65"/>
    <mergeCell ref="BE61:BE65"/>
    <mergeCell ref="BF61:BF65"/>
    <mergeCell ref="BG61:BG65"/>
    <mergeCell ref="BI61:BI65"/>
    <mergeCell ref="BX61:BY65"/>
    <mergeCell ref="AZ50:BA53"/>
    <mergeCell ref="CD50:CD53"/>
    <mergeCell ref="AY34:AY65"/>
    <mergeCell ref="AZ58:BA60"/>
    <mergeCell ref="AZ61:BA65"/>
    <mergeCell ref="BE58:BE60"/>
    <mergeCell ref="BF58:BF60"/>
    <mergeCell ref="BG58:BG60"/>
    <mergeCell ref="BX58:BY60"/>
    <mergeCell ref="BZ58:BZ60"/>
    <mergeCell ref="CC58:CC60"/>
    <mergeCell ref="CD58:CD60"/>
    <mergeCell ref="CE58:CE60"/>
    <mergeCell ref="BZ61:BZ65"/>
    <mergeCell ref="CC61:CC65"/>
    <mergeCell ref="AA9:AK17"/>
    <mergeCell ref="AM9:AW17"/>
    <mergeCell ref="C4:M4"/>
    <mergeCell ref="N4:N33"/>
    <mergeCell ref="Z4:Z33"/>
    <mergeCell ref="AA4:AK4"/>
    <mergeCell ref="AL4:AL33"/>
    <mergeCell ref="AX4:AX33"/>
    <mergeCell ref="D5:M5"/>
    <mergeCell ref="AB34:AC35"/>
    <mergeCell ref="AD34:AD35"/>
    <mergeCell ref="I34:I35"/>
    <mergeCell ref="J34:J35"/>
    <mergeCell ref="P34:Q35"/>
    <mergeCell ref="R34:R35"/>
    <mergeCell ref="S34:S35"/>
    <mergeCell ref="T34:T35"/>
    <mergeCell ref="U34:U35"/>
    <mergeCell ref="BB36:BB44"/>
    <mergeCell ref="BC36:BC65"/>
    <mergeCell ref="BB45:BB53"/>
    <mergeCell ref="BB54:BB60"/>
    <mergeCell ref="BD36:BD65"/>
    <mergeCell ref="BE36:BE39"/>
    <mergeCell ref="BE45:BE49"/>
    <mergeCell ref="BE50:BE53"/>
    <mergeCell ref="BE54:BE57"/>
    <mergeCell ref="BL36:BM39"/>
    <mergeCell ref="BN36:BN39"/>
    <mergeCell ref="BO36:BO39"/>
    <mergeCell ref="BP36:BP39"/>
    <mergeCell ref="BQ36:BQ39"/>
    <mergeCell ref="BR36:BR39"/>
    <mergeCell ref="BS36:BS39"/>
    <mergeCell ref="BT36:BT39"/>
    <mergeCell ref="BF50:BF53"/>
    <mergeCell ref="BF54:BF57"/>
    <mergeCell ref="BG54:BG57"/>
    <mergeCell ref="BF36:BF39"/>
    <mergeCell ref="BG36:BG39"/>
    <mergeCell ref="BG40:BG44"/>
    <mergeCell ref="BF45:BF49"/>
    <mergeCell ref="BG45:BG49"/>
    <mergeCell ref="BI45:BI53"/>
    <mergeCell ref="BG50:BG53"/>
    <mergeCell ref="BI54:BI60"/>
    <mergeCell ref="U36:U39"/>
    <mergeCell ref="U40:U43"/>
    <mergeCell ref="O31:O32"/>
    <mergeCell ref="P31:Y32"/>
    <mergeCell ref="P36:Q39"/>
    <mergeCell ref="R36:R39"/>
    <mergeCell ref="V36:V39"/>
    <mergeCell ref="W36:W39"/>
    <mergeCell ref="R40:R43"/>
    <mergeCell ref="D45:E49"/>
    <mergeCell ref="F45:F53"/>
    <mergeCell ref="C31:C32"/>
    <mergeCell ref="D31:M32"/>
    <mergeCell ref="C34:C57"/>
    <mergeCell ref="F34:F35"/>
    <mergeCell ref="M34:M35"/>
    <mergeCell ref="H36:H57"/>
    <mergeCell ref="J36:J39"/>
    <mergeCell ref="BH36:BH65"/>
    <mergeCell ref="BI36:BI44"/>
    <mergeCell ref="BU36:BU39"/>
    <mergeCell ref="BX36:BY44"/>
    <mergeCell ref="BZ36:BZ44"/>
    <mergeCell ref="CA36:CA65"/>
    <mergeCell ref="CB36:CB65"/>
    <mergeCell ref="CC36:CC44"/>
    <mergeCell ref="BE40:BE44"/>
    <mergeCell ref="BF40:BF44"/>
    <mergeCell ref="CO40:CO44"/>
    <mergeCell ref="CO45:CO49"/>
    <mergeCell ref="CJ61:CK65"/>
    <mergeCell ref="CL61:CL65"/>
    <mergeCell ref="CO61:CO65"/>
    <mergeCell ref="CD36:CD44"/>
    <mergeCell ref="CE36:CE44"/>
    <mergeCell ref="CJ40:CK44"/>
    <mergeCell ref="CJ45:CK49"/>
    <mergeCell ref="CJ50:CK53"/>
    <mergeCell ref="CJ54:CK57"/>
    <mergeCell ref="CJ58:CK60"/>
    <mergeCell ref="CQ54:CQ57"/>
    <mergeCell ref="CS54:CS57"/>
    <mergeCell ref="CP61:CP65"/>
    <mergeCell ref="CQ61:CQ65"/>
    <mergeCell ref="CM36:CM65"/>
    <mergeCell ref="CN36:CN65"/>
    <mergeCell ref="CR36:CR65"/>
    <mergeCell ref="CP40:CP44"/>
    <mergeCell ref="CQ40:CQ44"/>
    <mergeCell ref="CS40:CS44"/>
    <mergeCell ref="CQ50:CQ53"/>
    <mergeCell ref="CS61:CS65"/>
    <mergeCell ref="CP45:CP49"/>
    <mergeCell ref="CQ45:CQ49"/>
    <mergeCell ref="CL36:CL49"/>
    <mergeCell ref="CL50:CL53"/>
    <mergeCell ref="CL54:CL60"/>
    <mergeCell ref="CO50:CO53"/>
    <mergeCell ref="CP50:CP53"/>
    <mergeCell ref="CS45:CS49"/>
    <mergeCell ref="CS50:CS53"/>
    <mergeCell ref="CO54:CO57"/>
    <mergeCell ref="CP54:CP57"/>
    <mergeCell ref="CO58:CO60"/>
    <mergeCell ref="CP58:CP60"/>
    <mergeCell ref="CQ58:CQ60"/>
    <mergeCell ref="CS58:CS60"/>
  </mergeCells>
  <conditionalFormatting sqref="J36:J39">
    <cfRule type="expression" dxfId="0" priority="1">
      <formula>$J$36= "لا"</formula>
    </cfRule>
  </conditionalFormatting>
  <conditionalFormatting sqref="J36:J39">
    <cfRule type="expression" dxfId="0" priority="2">
      <formula>$J$37= "لا"</formula>
    </cfRule>
  </conditionalFormatting>
  <conditionalFormatting sqref="J40:J44">
    <cfRule type="expression" dxfId="1" priority="3">
      <formula>$J$40= "تم تكليفه"</formula>
    </cfRule>
  </conditionalFormatting>
  <conditionalFormatting sqref="J40:J44">
    <cfRule type="expression" dxfId="0" priority="4">
      <formula>$J$40= "لم يتم تكليفه "</formula>
    </cfRule>
  </conditionalFormatting>
  <conditionalFormatting sqref="J40:J44">
    <cfRule type="expression" dxfId="0" priority="5">
      <formula>$J$40= "لم يتم تكليفه"</formula>
    </cfRule>
  </conditionalFormatting>
  <conditionalFormatting sqref="J40:J44">
    <cfRule type="expression" dxfId="0" priority="6">
      <formula>$J$41="لا يوجد"</formula>
    </cfRule>
  </conditionalFormatting>
  <conditionalFormatting sqref="J40:J44">
    <cfRule type="expression" dxfId="1" priority="7">
      <formula>$J$41="يوجد"</formula>
    </cfRule>
  </conditionalFormatting>
  <conditionalFormatting sqref="J45:J49">
    <cfRule type="expression" dxfId="1" priority="8">
      <formula>$J$45= "نعم"</formula>
    </cfRule>
  </conditionalFormatting>
  <conditionalFormatting sqref="J45:J49">
    <cfRule type="expression" dxfId="0" priority="9">
      <formula>$J$45= "لا"</formula>
    </cfRule>
  </conditionalFormatting>
  <conditionalFormatting sqref="J50:J53">
    <cfRule type="expression" dxfId="0" priority="10">
      <formula>$J$50= "لا"</formula>
    </cfRule>
  </conditionalFormatting>
  <conditionalFormatting sqref="J50:J53">
    <cfRule type="expression" dxfId="1" priority="11">
      <formula>$J$50= "نعم"</formula>
    </cfRule>
  </conditionalFormatting>
  <conditionalFormatting sqref="J54:J57">
    <cfRule type="expression" dxfId="0" priority="12">
      <formula>$J$54= "لا"</formula>
    </cfRule>
  </conditionalFormatting>
  <conditionalFormatting sqref="J54:J57">
    <cfRule type="expression" dxfId="1" priority="13">
      <formula>$J$54= "نعم"</formula>
    </cfRule>
  </conditionalFormatting>
  <conditionalFormatting sqref="V36:V39">
    <cfRule type="expression" dxfId="1" priority="14">
      <formula>$V$36="نعم"</formula>
    </cfRule>
  </conditionalFormatting>
  <conditionalFormatting sqref="V36:V39">
    <cfRule type="expression" dxfId="0" priority="15">
      <formula>$V$36= "لا"</formula>
    </cfRule>
  </conditionalFormatting>
  <conditionalFormatting sqref="V40:V43">
    <cfRule type="expression" dxfId="1" priority="16">
      <formula>$V$40="نعم"</formula>
    </cfRule>
  </conditionalFormatting>
  <conditionalFormatting sqref="V40:V43">
    <cfRule type="expression" dxfId="1" priority="17">
      <formula>$V$41="نعم "</formula>
    </cfRule>
  </conditionalFormatting>
  <conditionalFormatting sqref="V40:V43">
    <cfRule type="expression" dxfId="0" priority="18">
      <formula>$V$40= "لا"</formula>
    </cfRule>
  </conditionalFormatting>
  <conditionalFormatting sqref="V44:V47">
    <cfRule type="expression" dxfId="0" priority="19" stopIfTrue="1">
      <formula>$V$44= "لا"</formula>
    </cfRule>
  </conditionalFormatting>
  <conditionalFormatting sqref="V48:V52">
    <cfRule type="expression" dxfId="1" priority="20" stopIfTrue="1">
      <formula>$V$48="نعم"</formula>
    </cfRule>
  </conditionalFormatting>
  <conditionalFormatting sqref="V48:V52">
    <cfRule type="expression" dxfId="2" priority="21">
      <formula>$V$49="ناقص"</formula>
    </cfRule>
  </conditionalFormatting>
  <conditionalFormatting sqref="V48:V52">
    <cfRule type="expression" dxfId="1" priority="22">
      <formula>$V$49="نعم"</formula>
    </cfRule>
  </conditionalFormatting>
  <conditionalFormatting sqref="V48:V52">
    <cfRule type="expression" dxfId="0" priority="23">
      <formula>$V$48= "لا"</formula>
    </cfRule>
  </conditionalFormatting>
  <conditionalFormatting sqref="V53:V56">
    <cfRule type="expression" dxfId="0" priority="24">
      <formula>$V$53= "لا"</formula>
    </cfRule>
  </conditionalFormatting>
  <conditionalFormatting sqref="V53:V56">
    <cfRule type="expression" dxfId="1" priority="25" stopIfTrue="1">
      <formula>$V$53="نعم"</formula>
    </cfRule>
  </conditionalFormatting>
  <conditionalFormatting sqref="V57:V61">
    <cfRule type="expression" dxfId="0" priority="26" stopIfTrue="1">
      <formula>$V$57= "لا"</formula>
    </cfRule>
  </conditionalFormatting>
  <conditionalFormatting sqref="V57:V61">
    <cfRule type="expression" dxfId="1" priority="27" stopIfTrue="1">
      <formula>$V$57="نعم"</formula>
    </cfRule>
  </conditionalFormatting>
  <conditionalFormatting sqref="V57:V61">
    <cfRule type="expression" dxfId="2" priority="28">
      <formula>$V$58="ناقص"</formula>
    </cfRule>
  </conditionalFormatting>
  <conditionalFormatting sqref="V62:V65">
    <cfRule type="expression" dxfId="0" priority="29">
      <formula>$V$62= "لا"</formula>
    </cfRule>
  </conditionalFormatting>
  <conditionalFormatting sqref="V62:V65">
    <cfRule type="expression" dxfId="1" priority="30" stopIfTrue="1">
      <formula>$V$62="نعم"</formula>
    </cfRule>
  </conditionalFormatting>
  <conditionalFormatting sqref="V66:V70">
    <cfRule type="expression" dxfId="0" priority="31">
      <formula>$V$66= "لا"</formula>
    </cfRule>
  </conditionalFormatting>
  <conditionalFormatting sqref="V66:V70">
    <cfRule type="expression" dxfId="2" priority="32">
      <formula>$V$67="متأخر"</formula>
    </cfRule>
  </conditionalFormatting>
  <conditionalFormatting sqref="V66:V70">
    <cfRule type="expression" dxfId="1" priority="33" stopIfTrue="1">
      <formula>$V$66="نعم"</formula>
    </cfRule>
  </conditionalFormatting>
  <conditionalFormatting sqref="V71:V73">
    <cfRule type="expression" dxfId="1" priority="34" stopIfTrue="1">
      <formula>$V$71="نعم"</formula>
    </cfRule>
  </conditionalFormatting>
  <conditionalFormatting sqref="V71:V73">
    <cfRule type="expression" dxfId="0" priority="35" stopIfTrue="1">
      <formula>$V$71= "لا"</formula>
    </cfRule>
  </conditionalFormatting>
  <conditionalFormatting sqref="V74:V76">
    <cfRule type="expression" dxfId="0" priority="36" stopIfTrue="1">
      <formula>$V$74= "لا"</formula>
    </cfRule>
  </conditionalFormatting>
  <conditionalFormatting sqref="V74:V76">
    <cfRule type="expression" dxfId="1" priority="37" stopIfTrue="1">
      <formula>$V$74="نعم"</formula>
    </cfRule>
  </conditionalFormatting>
  <conditionalFormatting sqref="V77:V80">
    <cfRule type="expression" dxfId="1" priority="38">
      <formula>$V$77="نعم"</formula>
    </cfRule>
  </conditionalFormatting>
  <conditionalFormatting sqref="V77:V80">
    <cfRule type="expression" dxfId="0" priority="39" stopIfTrue="1">
      <formula>$V$77= "لا"</formula>
    </cfRule>
  </conditionalFormatting>
  <conditionalFormatting sqref="V81:V85">
    <cfRule type="expression" dxfId="0" priority="40" stopIfTrue="1">
      <formula>$V$81= "لا"</formula>
    </cfRule>
  </conditionalFormatting>
  <conditionalFormatting sqref="V81:V85">
    <cfRule type="expression" dxfId="1" priority="41" stopIfTrue="1">
      <formula>$V$81="نعم"</formula>
    </cfRule>
  </conditionalFormatting>
  <conditionalFormatting sqref="V86:V90">
    <cfRule type="expression" dxfId="1" priority="42" stopIfTrue="1">
      <formula>$V$86="نعم"</formula>
    </cfRule>
  </conditionalFormatting>
  <conditionalFormatting sqref="V86:V90">
    <cfRule type="expression" dxfId="0" priority="43" stopIfTrue="1">
      <formula>$V$86= "لا"</formula>
    </cfRule>
  </conditionalFormatting>
  <conditionalFormatting sqref="V91:V94">
    <cfRule type="expression" dxfId="0" priority="44" stopIfTrue="1">
      <formula>$V$91= "لا"</formula>
    </cfRule>
  </conditionalFormatting>
  <conditionalFormatting sqref="V91:V94">
    <cfRule type="expression" dxfId="1" priority="45" stopIfTrue="1">
      <formula>$V$91="نعم"</formula>
    </cfRule>
  </conditionalFormatting>
  <conditionalFormatting sqref="V95:V98">
    <cfRule type="expression" dxfId="0" priority="46" stopIfTrue="1">
      <formula>$V$95= "لا"</formula>
    </cfRule>
  </conditionalFormatting>
  <conditionalFormatting sqref="V95:V98">
    <cfRule type="expression" dxfId="1" priority="47" stopIfTrue="1">
      <formula>$V$95="نعم"</formula>
    </cfRule>
  </conditionalFormatting>
  <conditionalFormatting sqref="AH36:AH39">
    <cfRule type="expression" dxfId="0" priority="48">
      <formula>$AH$36= "لا"</formula>
    </cfRule>
  </conditionalFormatting>
  <conditionalFormatting sqref="AH40:AH44">
    <cfRule type="expression" dxfId="0" priority="49" stopIfTrue="1">
      <formula>$AH$40= "لا"</formula>
    </cfRule>
  </conditionalFormatting>
  <conditionalFormatting sqref="AH40:AH44">
    <cfRule type="expression" dxfId="1" priority="50">
      <formula>$J$41="يوجد"</formula>
    </cfRule>
  </conditionalFormatting>
  <conditionalFormatting sqref="AH45:AH48">
    <cfRule type="expression" dxfId="0" priority="51">
      <formula>$AH$45= "لا"</formula>
    </cfRule>
  </conditionalFormatting>
  <conditionalFormatting sqref="AT36:AT39">
    <cfRule type="expression" dxfId="2" priority="52">
      <formula>$AT$36= "نعم"</formula>
    </cfRule>
  </conditionalFormatting>
  <conditionalFormatting sqref="AT36:AT39">
    <cfRule type="expression" dxfId="0" priority="53">
      <formula>$AT$36= "لا"</formula>
    </cfRule>
  </conditionalFormatting>
  <conditionalFormatting sqref="AT36:AT39">
    <cfRule type="expression" dxfId="1" priority="54" stopIfTrue="1">
      <formula>$AT$36= "نعم ٤ مرات فأكثر "</formula>
    </cfRule>
  </conditionalFormatting>
  <conditionalFormatting sqref="AT40:AT44">
    <cfRule type="expression" dxfId="0" priority="55">
      <formula>$AT$40="لا"</formula>
    </cfRule>
  </conditionalFormatting>
  <conditionalFormatting sqref="AT40:AT44">
    <cfRule type="expression" dxfId="1" priority="56">
      <formula>$AT$40="نعم"</formula>
    </cfRule>
  </conditionalFormatting>
  <conditionalFormatting sqref="BF36:BF39">
    <cfRule type="expression" dxfId="1" priority="57" stopIfTrue="1">
      <formula>$BF$36="نعم"</formula>
    </cfRule>
  </conditionalFormatting>
  <conditionalFormatting sqref="BF36:BF39">
    <cfRule type="expression" dxfId="0" priority="58" stopIfTrue="1">
      <formula>$BF$36= "لا"</formula>
    </cfRule>
  </conditionalFormatting>
  <conditionalFormatting sqref="BF40:BF44">
    <cfRule type="expression" dxfId="1" priority="59" stopIfTrue="1">
      <formula>$BF$40="نعم"</formula>
    </cfRule>
  </conditionalFormatting>
  <conditionalFormatting sqref="BF40:BF44">
    <cfRule type="expression" dxfId="0" priority="60">
      <formula>$J$40= "لم يتم تكليفه "</formula>
    </cfRule>
  </conditionalFormatting>
  <conditionalFormatting sqref="BF40:BF44">
    <cfRule type="expression" dxfId="0" priority="61">
      <formula>$J$40= "لم يتم تكليفه"</formula>
    </cfRule>
  </conditionalFormatting>
  <conditionalFormatting sqref="BF40:BF44">
    <cfRule type="expression" dxfId="0" priority="62">
      <formula>$J$41="لا يوجد"</formula>
    </cfRule>
  </conditionalFormatting>
  <conditionalFormatting sqref="BF40:BF44">
    <cfRule type="expression" dxfId="1" priority="63">
      <formula>$J$41="يوجد"</formula>
    </cfRule>
  </conditionalFormatting>
  <conditionalFormatting sqref="BF45:BF49">
    <cfRule type="expression" dxfId="1" priority="64" stopIfTrue="1">
      <formula>$BF$45="نعم"</formula>
    </cfRule>
  </conditionalFormatting>
  <conditionalFormatting sqref="BF45:BF49">
    <cfRule type="expression" dxfId="0" priority="65">
      <formula>$J$45= "لا"</formula>
    </cfRule>
  </conditionalFormatting>
  <conditionalFormatting sqref="BF50:BF53">
    <cfRule type="expression" dxfId="1" priority="66">
      <formula>$BF$50="نعم"</formula>
    </cfRule>
  </conditionalFormatting>
  <conditionalFormatting sqref="BF50:BF53">
    <cfRule type="expression" dxfId="0" priority="67">
      <formula>$J$50= "لا"</formula>
    </cfRule>
  </conditionalFormatting>
  <conditionalFormatting sqref="BF50:BF53">
    <cfRule type="expression" dxfId="1" priority="68">
      <formula>$BF$50="نعم"</formula>
    </cfRule>
  </conditionalFormatting>
  <conditionalFormatting sqref="BF54:BF57">
    <cfRule type="expression" dxfId="0" priority="69">
      <formula>$BF$54= "لا"</formula>
    </cfRule>
  </conditionalFormatting>
  <conditionalFormatting sqref="BF54:BF57">
    <cfRule type="expression" dxfId="0" priority="70" stopIfTrue="1">
      <formula>$J$54= "لا"</formula>
    </cfRule>
  </conditionalFormatting>
  <conditionalFormatting sqref="BF54:BF57">
    <cfRule type="expression" dxfId="1" priority="71" stopIfTrue="1">
      <formula>$BF$54="نعم"</formula>
    </cfRule>
  </conditionalFormatting>
  <conditionalFormatting sqref="BF58:BF60">
    <cfRule type="expression" dxfId="0" priority="72">
      <formula>$BF$58= "لا"</formula>
    </cfRule>
  </conditionalFormatting>
  <conditionalFormatting sqref="BF58:BF60">
    <cfRule type="expression" dxfId="1" priority="73">
      <formula>$BF$58="نعم"</formula>
    </cfRule>
  </conditionalFormatting>
  <conditionalFormatting sqref="BF61:BF65">
    <cfRule type="expression" dxfId="0" priority="74">
      <formula>$BF$61= "لا"</formula>
    </cfRule>
  </conditionalFormatting>
  <conditionalFormatting sqref="BF61:BF65">
    <cfRule type="expression" dxfId="1" priority="75">
      <formula>$BF$61="نعم"</formula>
    </cfRule>
  </conditionalFormatting>
  <conditionalFormatting sqref="BR36:BR39">
    <cfRule type="expression" dxfId="2" priority="76">
      <formula>$AT$36="ناقص"</formula>
    </cfRule>
  </conditionalFormatting>
  <conditionalFormatting sqref="BR36:BR39">
    <cfRule type="expression" dxfId="0" priority="77">
      <formula>$BR$36= "لا"</formula>
    </cfRule>
  </conditionalFormatting>
  <conditionalFormatting sqref="BR36:BR39">
    <cfRule type="expression" dxfId="1" priority="78">
      <formula>$BR$36="نعم"</formula>
    </cfRule>
  </conditionalFormatting>
  <conditionalFormatting sqref="CD36">
    <cfRule type="expression" dxfId="1" priority="79">
      <formula>$CD$36="نعم"</formula>
    </cfRule>
  </conditionalFormatting>
  <conditionalFormatting sqref="CD36">
    <cfRule type="expression" dxfId="0" priority="80">
      <formula>$BF$36= "لا"</formula>
    </cfRule>
  </conditionalFormatting>
  <conditionalFormatting sqref="CD45:CD49">
    <cfRule type="expression" dxfId="1" priority="81">
      <formula>$CD$45="نعم"</formula>
    </cfRule>
  </conditionalFormatting>
  <conditionalFormatting sqref="CD45:CD49">
    <cfRule type="expression" dxfId="0" priority="82">
      <formula>$J$45= "لا"</formula>
    </cfRule>
  </conditionalFormatting>
  <conditionalFormatting sqref="CD50:CD53">
    <cfRule type="expression" dxfId="1" priority="83">
      <formula>$CD$50="نعم"</formula>
    </cfRule>
  </conditionalFormatting>
  <conditionalFormatting sqref="CD50:CD53">
    <cfRule type="expression" dxfId="0" priority="84">
      <formula>$J$50= "لا"</formula>
    </cfRule>
  </conditionalFormatting>
  <conditionalFormatting sqref="CD50:CD53">
    <cfRule type="expression" dxfId="1" priority="85">
      <formula>$BF$50="نعم"</formula>
    </cfRule>
  </conditionalFormatting>
  <conditionalFormatting sqref="CD54:CD57">
    <cfRule type="expression" dxfId="0" priority="86">
      <formula>$CD$54= "لا"</formula>
    </cfRule>
  </conditionalFormatting>
  <conditionalFormatting sqref="CD54:CD57">
    <cfRule type="expression" dxfId="1" priority="87">
      <formula>$CD$54="نعم"</formula>
    </cfRule>
  </conditionalFormatting>
  <conditionalFormatting sqref="CD58:CD60">
    <cfRule type="expression" dxfId="0" priority="88">
      <formula>$CD$58= "لا"</formula>
    </cfRule>
  </conditionalFormatting>
  <conditionalFormatting sqref="CD58:CD60">
    <cfRule type="expression" dxfId="1" priority="89">
      <formula>$CD$58="نعم"</formula>
    </cfRule>
  </conditionalFormatting>
  <conditionalFormatting sqref="CD61:CD65">
    <cfRule type="expression" dxfId="0" priority="90" stopIfTrue="1">
      <formula>$CD$61= "لا"</formula>
    </cfRule>
  </conditionalFormatting>
  <conditionalFormatting sqref="CD61:CD65">
    <cfRule type="expression" dxfId="1" priority="91" stopIfTrue="1">
      <formula>$CD$61="نعم"</formula>
    </cfRule>
  </conditionalFormatting>
  <conditionalFormatting sqref="CP36:CP39">
    <cfRule type="expression" dxfId="1" priority="92">
      <formula>$CP$36="نعم"</formula>
    </cfRule>
  </conditionalFormatting>
  <conditionalFormatting sqref="CP36:CP39">
    <cfRule type="expression" dxfId="0" priority="93">
      <formula>$CP$36= "لا"</formula>
    </cfRule>
  </conditionalFormatting>
  <conditionalFormatting sqref="CP40:CP44">
    <cfRule type="expression" dxfId="1" priority="94">
      <formula>$CP$40="نعم"</formula>
    </cfRule>
  </conditionalFormatting>
  <conditionalFormatting sqref="CP40:CP44">
    <cfRule type="expression" dxfId="0" priority="95">
      <formula>$J$40= "لم يتم تكليفه "</formula>
    </cfRule>
  </conditionalFormatting>
  <conditionalFormatting sqref="CP40:CP44">
    <cfRule type="expression" dxfId="0" priority="96">
      <formula>$J$40= "لم يتم تكليفه"</formula>
    </cfRule>
  </conditionalFormatting>
  <conditionalFormatting sqref="CP40:CP44">
    <cfRule type="expression" dxfId="0" priority="97" stopIfTrue="1">
      <formula>$CP$40="لا"</formula>
    </cfRule>
  </conditionalFormatting>
  <conditionalFormatting sqref="CP40:CP44">
    <cfRule type="expression" dxfId="1" priority="98">
      <formula>$J$41="يوجد"</formula>
    </cfRule>
  </conditionalFormatting>
  <conditionalFormatting sqref="CP45:CP49">
    <cfRule type="expression" dxfId="1" priority="99">
      <formula>$CP$45="نعم"</formula>
    </cfRule>
  </conditionalFormatting>
  <conditionalFormatting sqref="CP45:CP49">
    <cfRule type="expression" dxfId="0" priority="100">
      <formula>$CP$45= "لا"</formula>
    </cfRule>
  </conditionalFormatting>
  <conditionalFormatting sqref="CP50:CP53">
    <cfRule type="expression" dxfId="1" priority="101" stopIfTrue="1">
      <formula>$CP$50="نعم"</formula>
    </cfRule>
  </conditionalFormatting>
  <conditionalFormatting sqref="CP50:CP53">
    <cfRule type="expression" dxfId="0" priority="102" stopIfTrue="1">
      <formula>$CP$50= "لا"</formula>
    </cfRule>
  </conditionalFormatting>
  <conditionalFormatting sqref="CP50:CP53">
    <cfRule type="expression" dxfId="1" priority="103">
      <formula>$BF$50="نعم"</formula>
    </cfRule>
  </conditionalFormatting>
  <conditionalFormatting sqref="CP54:CP57">
    <cfRule type="expression" dxfId="0" priority="104" stopIfTrue="1">
      <formula>$CP$54= "لا"</formula>
    </cfRule>
  </conditionalFormatting>
  <conditionalFormatting sqref="CP54:CP57">
    <cfRule type="expression" dxfId="0" priority="105" stopIfTrue="1">
      <formula>$J$54= "لا"</formula>
    </cfRule>
  </conditionalFormatting>
  <conditionalFormatting sqref="CP54:CP57">
    <cfRule type="expression" dxfId="1" priority="106">
      <formula>$CP$54="نعم"</formula>
    </cfRule>
  </conditionalFormatting>
  <conditionalFormatting sqref="CP58:CP60">
    <cfRule type="expression" dxfId="0" priority="107" stopIfTrue="1">
      <formula>$CP$58= "لا"</formula>
    </cfRule>
  </conditionalFormatting>
  <conditionalFormatting sqref="CP58:CP60">
    <cfRule type="expression" dxfId="1" priority="108" stopIfTrue="1">
      <formula>$CP$58="نعم"</formula>
    </cfRule>
  </conditionalFormatting>
  <conditionalFormatting sqref="CP61:CP65">
    <cfRule type="expression" dxfId="0" priority="109" stopIfTrue="1">
      <formula>$CP$61= "لا"</formula>
    </cfRule>
  </conditionalFormatting>
  <conditionalFormatting sqref="CP61:CP65">
    <cfRule type="expression" dxfId="1" priority="110">
      <formula>$CP$61="نعم"</formula>
    </cfRule>
  </conditionalFormatting>
  <dataValidations>
    <dataValidation type="list" allowBlank="1" showErrorMessage="1" sqref="J40">
      <formula1>"تم تكليفه,لم يتم تكليفه"</formula1>
    </dataValidation>
    <dataValidation type="list" allowBlank="1" showErrorMessage="1" sqref="J36 V36 AH36 BF36 CD36 CP36 V40 AH40 AT40 BF40 CP40 V44 J45 AH45 BF45 CD45 CP45 V48 J50 BF50 CD50 CP50 V53 J54 BF54 CD54 CP54 V57 BF58 CD58 CP58 BF61 CD61 CP61 V62 V66 V71 V74 V77 V81 V86 V91 V95">
      <formula1>"نعم,لا"</formula1>
    </dataValidation>
    <dataValidation type="list" allowBlank="1" showErrorMessage="1" sqref="BR36">
      <formula1>"نعم,لا,ناقص"</formula1>
    </dataValidation>
    <dataValidation type="list" allowBlank="1" showErrorMessage="1" sqref="AT36">
      <formula1>"نعم,نعم ٤ مرات فأكثر,لا"</formula1>
    </dataValidation>
  </dataValidations>
  <hyperlinks>
    <hyperlink r:id="rId1" ref="M36"/>
    <hyperlink r:id="rId2" ref="Y36"/>
    <hyperlink r:id="rId3" ref="BU36"/>
    <hyperlink r:id="rId4" ref="Y71"/>
    <hyperlink r:id="rId5" ref="Y77"/>
    <hyperlink r:id="rId6" ref="Y81"/>
  </hyperlinks>
  <printOptions/>
  <pageMargins bottom="0.75" footer="0.0" header="0.0" left="0.7" right="0.7" top="0.75"/>
  <pageSetup orientation="landscape"/>
  <drawing r:id="rId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2025-05-17T14:32:46Z</dcterms:created>
  <dc:creator>ROZAN !</dc:creator>
</cp:coreProperties>
</file>